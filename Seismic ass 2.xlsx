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 PATEL\OneDrive\Desktop\siesmic\"/>
    </mc:Choice>
  </mc:AlternateContent>
  <xr:revisionPtr revIDLastSave="0" documentId="13_ncr:1_{F52CE56E-032B-4695-8017-307558795F5C}" xr6:coauthVersionLast="47" xr6:coauthVersionMax="47" xr10:uidLastSave="{00000000-0000-0000-0000-000000000000}"/>
  <bookViews>
    <workbookView xWindow="-108" yWindow="-108" windowWidth="23256" windowHeight="12456" xr2:uid="{842BD92B-4F61-4BD8-8556-4E6C16DB06BB}"/>
  </bookViews>
  <sheets>
    <sheet name="Case 1 for basic score" sheetId="1" r:id="rId1"/>
    <sheet name="Case 2 Basic Score" sheetId="2" r:id="rId2"/>
    <sheet name="Case 1 Pre Code" sheetId="3" r:id="rId3"/>
    <sheet name="Case 2 Pre Code" sheetId="4" r:id="rId4"/>
    <sheet name="Case 1 Post Benchmark" sheetId="5" r:id="rId5"/>
    <sheet name="Case 2 Post Benchmark" sheetId="6" r:id="rId6"/>
    <sheet name="Case 1 Que D" sheetId="7" r:id="rId7"/>
    <sheet name="Case 2 Que D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B55" i="1"/>
  <c r="B56" i="1" s="1"/>
  <c r="B61" i="1" s="1"/>
  <c r="K50" i="1"/>
  <c r="K46" i="1"/>
  <c r="B53" i="8"/>
  <c r="B55" i="8"/>
  <c r="B56" i="8"/>
  <c r="B60" i="8"/>
  <c r="B61" i="8"/>
  <c r="L45" i="8"/>
  <c r="B38" i="8"/>
  <c r="B39" i="8"/>
  <c r="B53" i="7"/>
  <c r="B55" i="7"/>
  <c r="B56" i="7"/>
  <c r="B60" i="7"/>
  <c r="B61" i="7"/>
  <c r="B38" i="7"/>
  <c r="L45" i="7"/>
  <c r="B49" i="4"/>
  <c r="B53" i="6"/>
  <c r="B55" i="6"/>
  <c r="B56" i="6"/>
  <c r="B60" i="6"/>
  <c r="B61" i="6"/>
  <c r="B38" i="6"/>
  <c r="L45" i="6"/>
  <c r="B60" i="5"/>
  <c r="B53" i="5"/>
  <c r="B55" i="5"/>
  <c r="B56" i="5"/>
  <c r="L45" i="5"/>
  <c r="B38" i="5"/>
  <c r="B43" i="5"/>
  <c r="B53" i="3"/>
  <c r="B55" i="4"/>
  <c r="B56" i="4" s="1"/>
  <c r="B60" i="4" s="1"/>
  <c r="B61" i="4" s="1"/>
  <c r="B53" i="4"/>
  <c r="B38" i="4"/>
  <c r="L45" i="4"/>
  <c r="B56" i="3"/>
  <c r="B55" i="3"/>
  <c r="B38" i="3"/>
  <c r="B43" i="3"/>
  <c r="K59" i="2"/>
  <c r="K60" i="2"/>
  <c r="K46" i="2"/>
  <c r="K47" i="2"/>
  <c r="L45" i="2"/>
  <c r="K45" i="2"/>
  <c r="L60" i="1"/>
  <c r="B43" i="8"/>
  <c r="K45" i="8"/>
  <c r="B44" i="8"/>
  <c r="K59" i="8"/>
  <c r="K60" i="8"/>
  <c r="B39" i="7"/>
  <c r="B44" i="7"/>
  <c r="K59" i="7"/>
  <c r="K60" i="7"/>
  <c r="B43" i="7"/>
  <c r="B61" i="5"/>
  <c r="B43" i="6"/>
  <c r="B39" i="6"/>
  <c r="B39" i="5"/>
  <c r="B39" i="4"/>
  <c r="B43" i="4"/>
  <c r="B60" i="3"/>
  <c r="B61" i="3"/>
  <c r="L45" i="3"/>
  <c r="B39" i="3"/>
  <c r="K48" i="2"/>
  <c r="L47" i="2"/>
  <c r="L46" i="2"/>
  <c r="L59" i="2"/>
  <c r="L60" i="2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B49" i="8"/>
  <c r="B48" i="8"/>
  <c r="B47" i="8"/>
  <c r="B49" i="7"/>
  <c r="B48" i="7"/>
  <c r="B47" i="7"/>
  <c r="L55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B44" i="6"/>
  <c r="K59" i="6"/>
  <c r="K60" i="6"/>
  <c r="K45" i="6"/>
  <c r="B44" i="5"/>
  <c r="K59" i="5"/>
  <c r="K60" i="5"/>
  <c r="K45" i="5"/>
  <c r="K45" i="4"/>
  <c r="B44" i="4"/>
  <c r="K59" i="4"/>
  <c r="K60" i="4"/>
  <c r="K45" i="3"/>
  <c r="B44" i="3"/>
  <c r="L48" i="2"/>
  <c r="K49" i="2"/>
  <c r="L56" i="8"/>
  <c r="L53" i="8"/>
  <c r="L46" i="8"/>
  <c r="L52" i="8"/>
  <c r="L58" i="8"/>
  <c r="L51" i="8"/>
  <c r="L57" i="8"/>
  <c r="L50" i="8"/>
  <c r="L47" i="8"/>
  <c r="L49" i="8"/>
  <c r="L59" i="8"/>
  <c r="L60" i="8"/>
  <c r="L55" i="8"/>
  <c r="L48" i="8"/>
  <c r="L54" i="8"/>
  <c r="L49" i="7"/>
  <c r="L46" i="7"/>
  <c r="L51" i="7"/>
  <c r="L48" i="7"/>
  <c r="L50" i="7"/>
  <c r="L57" i="7"/>
  <c r="L58" i="7"/>
  <c r="L54" i="7"/>
  <c r="L47" i="7"/>
  <c r="L59" i="7"/>
  <c r="L60" i="7"/>
  <c r="L52" i="7"/>
  <c r="L53" i="7"/>
  <c r="L56" i="7"/>
  <c r="B49" i="6"/>
  <c r="B48" i="6"/>
  <c r="B47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B49" i="5"/>
  <c r="B48" i="5"/>
  <c r="B47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B48" i="4"/>
  <c r="B47" i="4"/>
  <c r="L59" i="4"/>
  <c r="L60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L58" i="4"/>
  <c r="K59" i="3"/>
  <c r="K60" i="3"/>
  <c r="B49" i="3"/>
  <c r="B48" i="3"/>
  <c r="B47" i="3"/>
  <c r="K50" i="2"/>
  <c r="L49" i="2"/>
  <c r="L59" i="6"/>
  <c r="L60" i="6"/>
  <c r="L46" i="6"/>
  <c r="L55" i="6"/>
  <c r="L52" i="6"/>
  <c r="L53" i="6"/>
  <c r="L58" i="6"/>
  <c r="L48" i="6"/>
  <c r="L57" i="6"/>
  <c r="L54" i="6"/>
  <c r="L47" i="6"/>
  <c r="L49" i="6"/>
  <c r="L51" i="6"/>
  <c r="L50" i="6"/>
  <c r="L56" i="6"/>
  <c r="L48" i="5"/>
  <c r="L53" i="5"/>
  <c r="L58" i="5"/>
  <c r="L50" i="5"/>
  <c r="L56" i="5"/>
  <c r="L52" i="5"/>
  <c r="L51" i="5"/>
  <c r="L55" i="5"/>
  <c r="L47" i="5"/>
  <c r="L46" i="5"/>
  <c r="L59" i="5"/>
  <c r="L60" i="5"/>
  <c r="L54" i="5"/>
  <c r="L49" i="5"/>
  <c r="L57" i="5"/>
  <c r="L49" i="4"/>
  <c r="L47" i="4"/>
  <c r="L54" i="4"/>
  <c r="L53" i="4"/>
  <c r="L50" i="4"/>
  <c r="L52" i="4"/>
  <c r="L55" i="4"/>
  <c r="L57" i="4"/>
  <c r="L51" i="4"/>
  <c r="L46" i="4"/>
  <c r="L56" i="4"/>
  <c r="L48" i="4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L58" i="3"/>
  <c r="L59" i="3"/>
  <c r="L60" i="3"/>
  <c r="K51" i="2"/>
  <c r="L50" i="2"/>
  <c r="L47" i="3"/>
  <c r="L50" i="3"/>
  <c r="L53" i="3"/>
  <c r="L48" i="3"/>
  <c r="L56" i="3"/>
  <c r="L49" i="3"/>
  <c r="L52" i="3"/>
  <c r="L55" i="3"/>
  <c r="L54" i="3"/>
  <c r="L46" i="3"/>
  <c r="L57" i="3"/>
  <c r="L51" i="3"/>
  <c r="K52" i="2"/>
  <c r="L51" i="2"/>
  <c r="L52" i="2"/>
  <c r="K53" i="2"/>
  <c r="K54" i="2"/>
  <c r="L53" i="2"/>
  <c r="K55" i="2"/>
  <c r="L54" i="2"/>
  <c r="K56" i="2"/>
  <c r="L55" i="2"/>
  <c r="L56" i="2"/>
  <c r="K57" i="2"/>
  <c r="K58" i="2"/>
  <c r="L58" i="2"/>
  <c r="L57" i="2"/>
  <c r="K60" i="1"/>
  <c r="L59" i="1"/>
  <c r="K47" i="1"/>
  <c r="K48" i="1"/>
  <c r="K49" i="1"/>
  <c r="K51" i="1"/>
  <c r="K52" i="1"/>
  <c r="K53" i="1"/>
  <c r="K54" i="1"/>
  <c r="K55" i="1"/>
  <c r="K56" i="1"/>
  <c r="K57" i="1"/>
  <c r="K58" i="1"/>
  <c r="K59" i="1"/>
  <c r="B56" i="2"/>
  <c r="B55" i="2"/>
  <c r="B60" i="2"/>
  <c r="B61" i="2"/>
  <c r="B53" i="2"/>
  <c r="B38" i="2"/>
  <c r="B43" i="2"/>
  <c r="B53" i="1"/>
  <c r="L45" i="1"/>
  <c r="B43" i="1"/>
  <c r="B38" i="1"/>
  <c r="B39" i="1"/>
  <c r="K45" i="1"/>
  <c r="B44" i="1"/>
  <c r="B49" i="1"/>
  <c r="B48" i="1"/>
  <c r="B47" i="1"/>
  <c r="B39" i="2"/>
  <c r="B44" i="2"/>
  <c r="B49" i="2"/>
  <c r="B48" i="2"/>
  <c r="B47" i="2"/>
  <c r="L47" i="1"/>
  <c r="L46" i="1"/>
  <c r="L48" i="1"/>
  <c r="L49" i="1"/>
  <c r="L50" i="1"/>
  <c r="L51" i="1"/>
  <c r="L52" i="1"/>
  <c r="L53" i="1"/>
  <c r="L54" i="1"/>
  <c r="L55" i="1"/>
  <c r="L56" i="1"/>
  <c r="L57" i="1"/>
  <c r="L58" i="1"/>
</calcChain>
</file>

<file path=xl/sharedStrings.xml><?xml version="1.0" encoding="utf-8"?>
<sst xmlns="http://schemas.openxmlformats.org/spreadsheetml/2006/main" count="472" uniqueCount="61">
  <si>
    <t>Step 1: Determine the seismic region from Range and Median MCEr Response ( Table 5-1 FEMA P 155)</t>
  </si>
  <si>
    <t>Storey Height</t>
  </si>
  <si>
    <t>Building type</t>
  </si>
  <si>
    <t>Site class</t>
  </si>
  <si>
    <t>City</t>
  </si>
  <si>
    <t>No of storey</t>
  </si>
  <si>
    <t>βc,p</t>
  </si>
  <si>
    <t>Conventional construction of moment resisting frames</t>
  </si>
  <si>
    <t>C</t>
  </si>
  <si>
    <t>Ottawa</t>
  </si>
  <si>
    <t>Sa(0.2) [g]</t>
  </si>
  <si>
    <t>Sa(0.5) [g]</t>
  </si>
  <si>
    <t>Sa(1.0) [g]</t>
  </si>
  <si>
    <t>Sa(2.0) [g]</t>
  </si>
  <si>
    <t>Sa(5.0) [g]</t>
  </si>
  <si>
    <t>Sa(10.0) [g]</t>
  </si>
  <si>
    <t>PGA [g]</t>
  </si>
  <si>
    <t>PGV [m/s]</t>
  </si>
  <si>
    <t>Step 2: Determine the building type;</t>
  </si>
  <si>
    <t>C1</t>
  </si>
  <si>
    <t>Step 3: Development of the Capacity Curve</t>
  </si>
  <si>
    <t>Values gathered from Table A-1 to A-11.</t>
  </si>
  <si>
    <t>γ, yield strength factor</t>
  </si>
  <si>
    <t>λ, overstrength factor</t>
  </si>
  <si>
    <t>m ductility factor</t>
  </si>
  <si>
    <t>K, degradation factor</t>
  </si>
  <si>
    <t>Collapse factor</t>
  </si>
  <si>
    <t>HRbuilding height, ft</t>
  </si>
  <si>
    <t>Te elastic period, seconds</t>
  </si>
  <si>
    <t>Cs, Seismic design coefficient</t>
  </si>
  <si>
    <t>α1 modal weight factor</t>
  </si>
  <si>
    <t>α2 modal height factor</t>
  </si>
  <si>
    <t>α3 modal shape factor</t>
  </si>
  <si>
    <t>bE elastic damping</t>
  </si>
  <si>
    <t>Δc storey drift ratio</t>
  </si>
  <si>
    <t>bC,DLognormal standard deviation</t>
  </si>
  <si>
    <t>Ay</t>
  </si>
  <si>
    <t>Dy</t>
  </si>
  <si>
    <t xml:space="preserve">Yied points </t>
  </si>
  <si>
    <t>Ultimate Points</t>
  </si>
  <si>
    <t>Au</t>
  </si>
  <si>
    <t>Du</t>
  </si>
  <si>
    <t>a</t>
  </si>
  <si>
    <t>b</t>
  </si>
  <si>
    <t>k</t>
  </si>
  <si>
    <t>A</t>
  </si>
  <si>
    <t>D</t>
  </si>
  <si>
    <t>Moment Resisting Frame</t>
  </si>
  <si>
    <t>Spectral Acceleration Sa</t>
  </si>
  <si>
    <t>(g)</t>
  </si>
  <si>
    <t>Spectral Displacement Sd</t>
  </si>
  <si>
    <t>(in)</t>
  </si>
  <si>
    <t>Step5</t>
  </si>
  <si>
    <t>Sd,c</t>
  </si>
  <si>
    <t>P[Complete Damage]</t>
  </si>
  <si>
    <t>Step 6</t>
  </si>
  <si>
    <t>Proability of Collaps</t>
  </si>
  <si>
    <t>c</t>
  </si>
  <si>
    <t>C2</t>
  </si>
  <si>
    <t>Shear Wall</t>
  </si>
  <si>
    <t>Conventional Shear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</si>
</sst>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/>
    <xf numFmtId="164" fontId="0" fillId="0" borderId="1" xfId="0" applyNumberFormat="1" applyBorder="1"/>
    <xf numFmtId="0" fontId="1" fillId="0" borderId="1" xfId="0" applyFont="1" applyBorder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1 for basic score'!$K$44:$K$60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0.82304615342465748</c:v>
                </c:pt>
                <c:pt idx="2">
                  <c:v>1.2134051861917807</c:v>
                </c:pt>
                <c:pt idx="3">
                  <c:v>1.6037642189589039</c:v>
                </c:pt>
                <c:pt idx="4">
                  <c:v>1.9941232517260272</c:v>
                </c:pt>
                <c:pt idx="5">
                  <c:v>2.3844822844931506</c:v>
                </c:pt>
                <c:pt idx="6">
                  <c:v>2.7748413172602739</c:v>
                </c:pt>
                <c:pt idx="7">
                  <c:v>3.1652003500273973</c:v>
                </c:pt>
                <c:pt idx="8">
                  <c:v>3.5555593827945207</c:v>
                </c:pt>
                <c:pt idx="9">
                  <c:v>3.945918415561644</c:v>
                </c:pt>
                <c:pt idx="10">
                  <c:v>4.3362774483287669</c:v>
                </c:pt>
                <c:pt idx="11">
                  <c:v>4.7266364810958903</c:v>
                </c:pt>
                <c:pt idx="12">
                  <c:v>5.1169955138630137</c:v>
                </c:pt>
                <c:pt idx="13">
                  <c:v>5.507354546630137</c:v>
                </c:pt>
                <c:pt idx="14">
                  <c:v>5.8977135793972604</c:v>
                </c:pt>
                <c:pt idx="15">
                  <c:v>6.2880726121643828</c:v>
                </c:pt>
                <c:pt idx="16">
                  <c:v>9.4321089182465734</c:v>
                </c:pt>
              </c:numCache>
            </c:numRef>
          </c:xVal>
          <c:yVal>
            <c:numRef>
              <c:f>'Case 1 for basic score'!$L$44:$L$60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0.10602739726027396</c:v>
                </c:pt>
                <c:pt idx="2">
                  <c:v>0.13550523885869761</c:v>
                </c:pt>
                <c:pt idx="3">
                  <c:v>0.15238826813123357</c:v>
                </c:pt>
                <c:pt idx="4">
                  <c:v>0.16489603274153092</c:v>
                </c:pt>
                <c:pt idx="5">
                  <c:v>0.17483748984169004</c:v>
                </c:pt>
                <c:pt idx="6">
                  <c:v>0.18298248270562001</c:v>
                </c:pt>
                <c:pt idx="7">
                  <c:v>0.18974372546352691</c:v>
                </c:pt>
                <c:pt idx="8">
                  <c:v>0.19537166575562093</c:v>
                </c:pt>
                <c:pt idx="9">
                  <c:v>0.20003016603470569</c:v>
                </c:pt>
                <c:pt idx="10">
                  <c:v>0.20383156918710818</c:v>
                </c:pt>
                <c:pt idx="11">
                  <c:v>0.20685493227265067</c:v>
                </c:pt>
                <c:pt idx="12">
                  <c:v>0.20915628389755489</c:v>
                </c:pt>
                <c:pt idx="13">
                  <c:v>0.21077469653039355</c:v>
                </c:pt>
                <c:pt idx="14">
                  <c:v>0.21173596499087732</c:v>
                </c:pt>
                <c:pt idx="15">
                  <c:v>0.21205479452054793</c:v>
                </c:pt>
                <c:pt idx="16">
                  <c:v>0.21205479452054793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9F-4CF4-AE4E-5492E8EB62F6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1 for basic score'!$N$44:$N$60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1.159</c:v>
                </c:pt>
                <c:pt idx="2">
                  <c:v>1.8560000000000001</c:v>
                </c:pt>
                <c:pt idx="3">
                  <c:v>1.8560000000000001</c:v>
                </c:pt>
                <c:pt idx="4">
                  <c:v>1.9019999999999999</c:v>
                </c:pt>
                <c:pt idx="5">
                  <c:v>1.9510000000000001</c:v>
                </c:pt>
                <c:pt idx="6">
                  <c:v>2.0009999999999999</c:v>
                </c:pt>
                <c:pt idx="7">
                  <c:v>2.0550000000000002</c:v>
                </c:pt>
                <c:pt idx="8">
                  <c:v>2.1030000000000002</c:v>
                </c:pt>
                <c:pt idx="9">
                  <c:v>2.202</c:v>
                </c:pt>
                <c:pt idx="10">
                  <c:v>2.302</c:v>
                </c:pt>
                <c:pt idx="11">
                  <c:v>2.403</c:v>
                </c:pt>
                <c:pt idx="12">
                  <c:v>2.601</c:v>
                </c:pt>
                <c:pt idx="13">
                  <c:v>2.8010000000000002</c:v>
                </c:pt>
                <c:pt idx="14">
                  <c:v>3.0030000000000001</c:v>
                </c:pt>
                <c:pt idx="15">
                  <c:v>3.202</c:v>
                </c:pt>
                <c:pt idx="16">
                  <c:v>3.3519999999999999</c:v>
                </c:pt>
              </c:numCache>
            </c:numRef>
          </c:xVal>
          <c:yVal>
            <c:numRef>
              <c:f>'Case 1 for basic score'!$M$44:$M$60</c:f>
              <c:numCache>
                <c:formatCode>0.0000</c:formatCode>
                <c:ptCount val="17"/>
                <c:pt idx="1">
                  <c:v>0.20699999999999999</c:v>
                </c:pt>
                <c:pt idx="2">
                  <c:v>0.20300000000000001</c:v>
                </c:pt>
                <c:pt idx="3">
                  <c:v>7.6999999999999999E-2</c:v>
                </c:pt>
                <c:pt idx="4">
                  <c:v>7.3999999999999996E-2</c:v>
                </c:pt>
                <c:pt idx="5">
                  <c:v>7.0000000000000007E-2</c:v>
                </c:pt>
                <c:pt idx="6">
                  <c:v>6.7000000000000004E-2</c:v>
                </c:pt>
                <c:pt idx="7">
                  <c:v>6.5000000000000002E-2</c:v>
                </c:pt>
                <c:pt idx="8">
                  <c:v>6.2E-2</c:v>
                </c:pt>
                <c:pt idx="9">
                  <c:v>5.8000000000000003E-2</c:v>
                </c:pt>
                <c:pt idx="10">
                  <c:v>5.3999999999999999E-2</c:v>
                </c:pt>
                <c:pt idx="11">
                  <c:v>5.0999999999999997E-2</c:v>
                </c:pt>
                <c:pt idx="12">
                  <c:v>4.5999999999999999E-2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3.5999999999999997E-2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E9F-4CF4-AE4E-5492E8EB6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2.2110066347608544E-2"/>
              <c:y val="0.2424058294828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2 Basic Score'!$K$44:$K$60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0.40566417721518988</c:v>
                </c:pt>
                <c:pt idx="2">
                  <c:v>0.59806490126582279</c:v>
                </c:pt>
                <c:pt idx="3">
                  <c:v>0.7904656253164557</c:v>
                </c:pt>
                <c:pt idx="4">
                  <c:v>0.98286634936708861</c:v>
                </c:pt>
                <c:pt idx="5">
                  <c:v>1.1752670734177215</c:v>
                </c:pt>
                <c:pt idx="6">
                  <c:v>1.3676677974683544</c:v>
                </c:pt>
                <c:pt idx="7">
                  <c:v>1.5600685215189873</c:v>
                </c:pt>
                <c:pt idx="8">
                  <c:v>1.7524692455696202</c:v>
                </c:pt>
                <c:pt idx="9">
                  <c:v>1.9448699696202532</c:v>
                </c:pt>
                <c:pt idx="10">
                  <c:v>2.1372706936708861</c:v>
                </c:pt>
                <c:pt idx="11">
                  <c:v>2.329671417721519</c:v>
                </c:pt>
                <c:pt idx="12">
                  <c:v>2.5220721417721519</c:v>
                </c:pt>
                <c:pt idx="13">
                  <c:v>2.7144728658227848</c:v>
                </c:pt>
                <c:pt idx="14">
                  <c:v>2.9068735898734177</c:v>
                </c:pt>
                <c:pt idx="15">
                  <c:v>3.0992743139240506</c:v>
                </c:pt>
                <c:pt idx="16">
                  <c:v>4.6489114708860759</c:v>
                </c:pt>
              </c:numCache>
            </c:numRef>
          </c:xVal>
          <c:yVal>
            <c:numRef>
              <c:f>'Case 2 Basic Score'!$L$44:$L$60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9.7974683544303789E-2</c:v>
                </c:pt>
                <c:pt idx="2">
                  <c:v>0.125213701730189</c:v>
                </c:pt>
                <c:pt idx="3">
                  <c:v>0.1408144756149374</c:v>
                </c:pt>
                <c:pt idx="4">
                  <c:v>0.15237228341938935</c:v>
                </c:pt>
                <c:pt idx="5">
                  <c:v>0.16155869314485283</c:v>
                </c:pt>
                <c:pt idx="6">
                  <c:v>0.16908507895582608</c:v>
                </c:pt>
                <c:pt idx="7">
                  <c:v>0.17533280960553754</c:v>
                </c:pt>
                <c:pt idx="8">
                  <c:v>0.18053331139443454</c:v>
                </c:pt>
                <c:pt idx="9">
                  <c:v>0.1848380015257407</c:v>
                </c:pt>
                <c:pt idx="10">
                  <c:v>0.18835069051466957</c:v>
                </c:pt>
                <c:pt idx="11">
                  <c:v>0.19114443108738607</c:v>
                </c:pt>
                <c:pt idx="12">
                  <c:v>0.19327099651293048</c:v>
                </c:pt>
                <c:pt idx="13">
                  <c:v>0.19476649173061683</c:v>
                </c:pt>
                <c:pt idx="14">
                  <c:v>0.19565475245992464</c:v>
                </c:pt>
                <c:pt idx="15">
                  <c:v>0.19594936708860758</c:v>
                </c:pt>
                <c:pt idx="16">
                  <c:v>0.19594936708860758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2-4B85-B35D-D839DC59B34F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2 Basic Score'!$N$44:$N$60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1.139</c:v>
                </c:pt>
                <c:pt idx="2">
                  <c:v>1.3560000000000001</c:v>
                </c:pt>
                <c:pt idx="3">
                  <c:v>1.3580000000000001</c:v>
                </c:pt>
                <c:pt idx="4">
                  <c:v>1.4</c:v>
                </c:pt>
                <c:pt idx="5">
                  <c:v>1.45</c:v>
                </c:pt>
                <c:pt idx="6">
                  <c:v>1.506</c:v>
                </c:pt>
                <c:pt idx="7">
                  <c:v>1.6</c:v>
                </c:pt>
                <c:pt idx="8">
                  <c:v>1.706</c:v>
                </c:pt>
                <c:pt idx="9">
                  <c:v>1.8520000000000001</c:v>
                </c:pt>
                <c:pt idx="10">
                  <c:v>2.008</c:v>
                </c:pt>
                <c:pt idx="11">
                  <c:v>2.2040000000000002</c:v>
                </c:pt>
                <c:pt idx="12">
                  <c:v>2.4020000000000001</c:v>
                </c:pt>
                <c:pt idx="13">
                  <c:v>2.6059999999999999</c:v>
                </c:pt>
                <c:pt idx="14">
                  <c:v>2.8</c:v>
                </c:pt>
                <c:pt idx="15">
                  <c:v>3.0009999999999999</c:v>
                </c:pt>
                <c:pt idx="16">
                  <c:v>3.5270000000000001</c:v>
                </c:pt>
              </c:numCache>
            </c:numRef>
          </c:xVal>
          <c:yVal>
            <c:numRef>
              <c:f>'Case 2 Basic Score'!$M$44:$M$60</c:f>
              <c:numCache>
                <c:formatCode>0.0000</c:formatCode>
                <c:ptCount val="17"/>
                <c:pt idx="1">
                  <c:v>0.28299999999999997</c:v>
                </c:pt>
                <c:pt idx="2">
                  <c:v>0.27800000000000002</c:v>
                </c:pt>
                <c:pt idx="3">
                  <c:v>0.105</c:v>
                </c:pt>
                <c:pt idx="4">
                  <c:v>9.9000000000000005E-2</c:v>
                </c:pt>
                <c:pt idx="5">
                  <c:v>9.4E-2</c:v>
                </c:pt>
                <c:pt idx="6">
                  <c:v>8.7999999999999995E-2</c:v>
                </c:pt>
                <c:pt idx="7">
                  <c:v>0.08</c:v>
                </c:pt>
                <c:pt idx="8">
                  <c:v>7.2999999999999995E-2</c:v>
                </c:pt>
                <c:pt idx="9">
                  <c:v>6.5000000000000002E-2</c:v>
                </c:pt>
                <c:pt idx="10">
                  <c:v>5.8999999999999997E-2</c:v>
                </c:pt>
                <c:pt idx="11">
                  <c:v>5.2999999999999999E-2</c:v>
                </c:pt>
                <c:pt idx="12">
                  <c:v>4.8000000000000001E-2</c:v>
                </c:pt>
                <c:pt idx="13">
                  <c:v>4.2999999999999997E-2</c:v>
                </c:pt>
                <c:pt idx="14">
                  <c:v>0.04</c:v>
                </c:pt>
                <c:pt idx="15">
                  <c:v>3.6999999999999998E-2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42-4B85-B35D-D839DC59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1 Pre Code'!$K$44:$K$60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0.55507763835616453</c:v>
                </c:pt>
                <c:pt idx="2">
                  <c:v>0.74261458331506869</c:v>
                </c:pt>
                <c:pt idx="3">
                  <c:v>0.93015152827397285</c:v>
                </c:pt>
                <c:pt idx="4">
                  <c:v>1.1176884732328769</c:v>
                </c:pt>
                <c:pt idx="5">
                  <c:v>1.3052254181917811</c:v>
                </c:pt>
                <c:pt idx="6">
                  <c:v>1.4927623631506852</c:v>
                </c:pt>
                <c:pt idx="7">
                  <c:v>1.6802993081095894</c:v>
                </c:pt>
                <c:pt idx="8">
                  <c:v>1.8678362530684935</c:v>
                </c:pt>
                <c:pt idx="9">
                  <c:v>2.0553731980273975</c:v>
                </c:pt>
                <c:pt idx="10">
                  <c:v>2.2429101429863016</c:v>
                </c:pt>
                <c:pt idx="11">
                  <c:v>2.4304470879452058</c:v>
                </c:pt>
                <c:pt idx="12">
                  <c:v>2.61798403290411</c:v>
                </c:pt>
                <c:pt idx="13">
                  <c:v>2.8055209778630141</c:v>
                </c:pt>
                <c:pt idx="14">
                  <c:v>2.9930579228219183</c:v>
                </c:pt>
                <c:pt idx="15">
                  <c:v>3.1805948677808225</c:v>
                </c:pt>
                <c:pt idx="16">
                  <c:v>4.7708923016712337</c:v>
                </c:pt>
              </c:numCache>
            </c:numRef>
          </c:xVal>
          <c:yVal>
            <c:numRef>
              <c:f>'Case 1 Pre Code'!$L$44:$L$60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7.1506849315068496E-2</c:v>
                </c:pt>
                <c:pt idx="2">
                  <c:v>8.240725913764177E-2</c:v>
                </c:pt>
                <c:pt idx="3">
                  <c:v>8.799879778328959E-2</c:v>
                </c:pt>
                <c:pt idx="4">
                  <c:v>9.2076676520005146E-2</c:v>
                </c:pt>
                <c:pt idx="5">
                  <c:v>9.5296281739669572E-2</c:v>
                </c:pt>
                <c:pt idx="6">
                  <c:v>9.7924368666371817E-2</c:v>
                </c:pt>
                <c:pt idx="7">
                  <c:v>0.10010091742283703</c:v>
                </c:pt>
                <c:pt idx="8">
                  <c:v>0.10190979925582497</c:v>
                </c:pt>
                <c:pt idx="9">
                  <c:v>0.10340543252892606</c:v>
                </c:pt>
                <c:pt idx="10">
                  <c:v>0.10462490970351901</c:v>
                </c:pt>
                <c:pt idx="11">
                  <c:v>0.10559422446446884</c:v>
                </c:pt>
                <c:pt idx="12">
                  <c:v>0.10633174307888535</c:v>
                </c:pt>
                <c:pt idx="13">
                  <c:v>0.10685024565823528</c:v>
                </c:pt>
                <c:pt idx="14">
                  <c:v>0.10715815660894927</c:v>
                </c:pt>
                <c:pt idx="15">
                  <c:v>0.10726027397260274</c:v>
                </c:pt>
                <c:pt idx="16">
                  <c:v>0.10726027397260274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3-4484-B62A-A0AB1CE2AFD2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1 Pre Code'!$N$44:$N$60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1.159</c:v>
                </c:pt>
                <c:pt idx="2">
                  <c:v>1.8560000000000001</c:v>
                </c:pt>
                <c:pt idx="3">
                  <c:v>1.8560000000000001</c:v>
                </c:pt>
                <c:pt idx="4">
                  <c:v>1.9019999999999999</c:v>
                </c:pt>
                <c:pt idx="5">
                  <c:v>1.9510000000000001</c:v>
                </c:pt>
                <c:pt idx="6">
                  <c:v>2.0009999999999999</c:v>
                </c:pt>
                <c:pt idx="7">
                  <c:v>2.0550000000000002</c:v>
                </c:pt>
                <c:pt idx="8">
                  <c:v>2.1030000000000002</c:v>
                </c:pt>
                <c:pt idx="9">
                  <c:v>2.202</c:v>
                </c:pt>
                <c:pt idx="10">
                  <c:v>2.302</c:v>
                </c:pt>
                <c:pt idx="11">
                  <c:v>2.403</c:v>
                </c:pt>
                <c:pt idx="12">
                  <c:v>2.601</c:v>
                </c:pt>
                <c:pt idx="13">
                  <c:v>2.8010000000000002</c:v>
                </c:pt>
                <c:pt idx="14">
                  <c:v>3.0030000000000001</c:v>
                </c:pt>
                <c:pt idx="15">
                  <c:v>3.202</c:v>
                </c:pt>
                <c:pt idx="16">
                  <c:v>3.3519999999999999</c:v>
                </c:pt>
              </c:numCache>
            </c:numRef>
          </c:xVal>
          <c:yVal>
            <c:numRef>
              <c:f>'Case 1 Pre Code'!$M$44:$M$60</c:f>
              <c:numCache>
                <c:formatCode>0.0000</c:formatCode>
                <c:ptCount val="17"/>
                <c:pt idx="1">
                  <c:v>0.20699999999999999</c:v>
                </c:pt>
                <c:pt idx="2">
                  <c:v>0.20300000000000001</c:v>
                </c:pt>
                <c:pt idx="3">
                  <c:v>7.6999999999999999E-2</c:v>
                </c:pt>
                <c:pt idx="4">
                  <c:v>7.3999999999999996E-2</c:v>
                </c:pt>
                <c:pt idx="5">
                  <c:v>7.0000000000000007E-2</c:v>
                </c:pt>
                <c:pt idx="6">
                  <c:v>6.7000000000000004E-2</c:v>
                </c:pt>
                <c:pt idx="7">
                  <c:v>6.5000000000000002E-2</c:v>
                </c:pt>
                <c:pt idx="8">
                  <c:v>6.2E-2</c:v>
                </c:pt>
                <c:pt idx="9">
                  <c:v>5.8000000000000003E-2</c:v>
                </c:pt>
                <c:pt idx="10">
                  <c:v>5.3999999999999999E-2</c:v>
                </c:pt>
                <c:pt idx="11">
                  <c:v>5.0999999999999997E-2</c:v>
                </c:pt>
                <c:pt idx="12">
                  <c:v>4.5999999999999999E-2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3.5999999999999997E-2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D3-4484-B62A-A0AB1CE2A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2.2110066347608544E-2"/>
              <c:y val="0.2424058294828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2 Pre Code'!$K$44:$K$60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0.27358746835443043</c:v>
                </c:pt>
                <c:pt idx="2">
                  <c:v>0.36602094873417729</c:v>
                </c:pt>
                <c:pt idx="3">
                  <c:v>0.45845442911392414</c:v>
                </c:pt>
                <c:pt idx="4">
                  <c:v>0.55088790949367095</c:v>
                </c:pt>
                <c:pt idx="5">
                  <c:v>0.6433213898734178</c:v>
                </c:pt>
                <c:pt idx="6">
                  <c:v>0.73575487025316466</c:v>
                </c:pt>
                <c:pt idx="7">
                  <c:v>0.82818835063291152</c:v>
                </c:pt>
                <c:pt idx="8">
                  <c:v>0.92062183101265838</c:v>
                </c:pt>
                <c:pt idx="9">
                  <c:v>1.0130553113924052</c:v>
                </c:pt>
                <c:pt idx="10">
                  <c:v>1.1054887917721521</c:v>
                </c:pt>
                <c:pt idx="11">
                  <c:v>1.1979222721518989</c:v>
                </c:pt>
                <c:pt idx="12">
                  <c:v>1.2903557525316458</c:v>
                </c:pt>
                <c:pt idx="13">
                  <c:v>1.3827892329113927</c:v>
                </c:pt>
                <c:pt idx="14">
                  <c:v>1.4752227132911395</c:v>
                </c:pt>
                <c:pt idx="15">
                  <c:v>1.5676561936708862</c:v>
                </c:pt>
                <c:pt idx="16">
                  <c:v>2.3514842905063293</c:v>
                </c:pt>
              </c:numCache>
            </c:numRef>
          </c:xVal>
          <c:yVal>
            <c:numRef>
              <c:f>'Case 2 Pre Code'!$L$44:$L$60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6.6075949367088604E-2</c:v>
                </c:pt>
                <c:pt idx="2">
                  <c:v>7.6148479962631216E-2</c:v>
                </c:pt>
                <c:pt idx="3">
                  <c:v>8.1315344787090515E-2</c:v>
                </c:pt>
                <c:pt idx="4">
                  <c:v>8.5083511214688406E-2</c:v>
                </c:pt>
                <c:pt idx="5">
                  <c:v>8.8058589455644112E-2</c:v>
                </c:pt>
                <c:pt idx="6">
                  <c:v>9.0487074843609461E-2</c:v>
                </c:pt>
                <c:pt idx="7">
                  <c:v>9.249831609958363E-2</c:v>
                </c:pt>
                <c:pt idx="8">
                  <c:v>9.4169814502218036E-2</c:v>
                </c:pt>
                <c:pt idx="9">
                  <c:v>9.5551855374830436E-2</c:v>
                </c:pt>
                <c:pt idx="10">
                  <c:v>9.6678714029834037E-2</c:v>
                </c:pt>
                <c:pt idx="11">
                  <c:v>9.7574409948180077E-2</c:v>
                </c:pt>
                <c:pt idx="12">
                  <c:v>9.825591449061559E-2</c:v>
                </c:pt>
                <c:pt idx="13">
                  <c:v>9.8735037127230085E-2</c:v>
                </c:pt>
                <c:pt idx="14">
                  <c:v>9.9019562436117675E-2</c:v>
                </c:pt>
                <c:pt idx="15">
                  <c:v>9.9113924050632907E-2</c:v>
                </c:pt>
                <c:pt idx="16">
                  <c:v>9.9113924050632907E-2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FB-4A17-BCC9-044054CDE2FA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2 Pre Code'!$N$44:$N$60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1.139</c:v>
                </c:pt>
                <c:pt idx="2">
                  <c:v>1.3560000000000001</c:v>
                </c:pt>
                <c:pt idx="3">
                  <c:v>1.3580000000000001</c:v>
                </c:pt>
                <c:pt idx="4">
                  <c:v>1.4</c:v>
                </c:pt>
                <c:pt idx="5">
                  <c:v>1.45</c:v>
                </c:pt>
                <c:pt idx="6">
                  <c:v>1.506</c:v>
                </c:pt>
                <c:pt idx="7">
                  <c:v>1.6</c:v>
                </c:pt>
                <c:pt idx="8">
                  <c:v>1.706</c:v>
                </c:pt>
                <c:pt idx="9">
                  <c:v>1.8520000000000001</c:v>
                </c:pt>
                <c:pt idx="10">
                  <c:v>2.008</c:v>
                </c:pt>
                <c:pt idx="11">
                  <c:v>2.2040000000000002</c:v>
                </c:pt>
                <c:pt idx="12">
                  <c:v>2.4020000000000001</c:v>
                </c:pt>
                <c:pt idx="13">
                  <c:v>2.6059999999999999</c:v>
                </c:pt>
                <c:pt idx="14">
                  <c:v>2.8</c:v>
                </c:pt>
                <c:pt idx="15">
                  <c:v>3.0009999999999999</c:v>
                </c:pt>
                <c:pt idx="16">
                  <c:v>3.5270000000000001</c:v>
                </c:pt>
              </c:numCache>
            </c:numRef>
          </c:xVal>
          <c:yVal>
            <c:numRef>
              <c:f>'Case 2 Pre Code'!$M$44:$M$60</c:f>
              <c:numCache>
                <c:formatCode>0.0000</c:formatCode>
                <c:ptCount val="17"/>
                <c:pt idx="1">
                  <c:v>0.28299999999999997</c:v>
                </c:pt>
                <c:pt idx="2">
                  <c:v>0.27800000000000002</c:v>
                </c:pt>
                <c:pt idx="3">
                  <c:v>0.105</c:v>
                </c:pt>
                <c:pt idx="4">
                  <c:v>9.9000000000000005E-2</c:v>
                </c:pt>
                <c:pt idx="5">
                  <c:v>9.4E-2</c:v>
                </c:pt>
                <c:pt idx="6">
                  <c:v>8.7999999999999995E-2</c:v>
                </c:pt>
                <c:pt idx="7">
                  <c:v>0.08</c:v>
                </c:pt>
                <c:pt idx="8">
                  <c:v>7.2999999999999995E-2</c:v>
                </c:pt>
                <c:pt idx="9">
                  <c:v>6.5000000000000002E-2</c:v>
                </c:pt>
                <c:pt idx="10">
                  <c:v>5.8999999999999997E-2</c:v>
                </c:pt>
                <c:pt idx="11">
                  <c:v>5.2999999999999999E-2</c:v>
                </c:pt>
                <c:pt idx="12">
                  <c:v>4.8000000000000001E-2</c:v>
                </c:pt>
                <c:pt idx="13">
                  <c:v>4.2999999999999997E-2</c:v>
                </c:pt>
                <c:pt idx="14">
                  <c:v>0.04</c:v>
                </c:pt>
                <c:pt idx="15">
                  <c:v>3.6999999999999998E-2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FB-4A17-BCC9-044054CDE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1 Pre Code'!$K$44:$K$60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0.55507763835616453</c:v>
                </c:pt>
                <c:pt idx="2">
                  <c:v>0.74261458331506869</c:v>
                </c:pt>
                <c:pt idx="3">
                  <c:v>0.93015152827397285</c:v>
                </c:pt>
                <c:pt idx="4">
                  <c:v>1.1176884732328769</c:v>
                </c:pt>
                <c:pt idx="5">
                  <c:v>1.3052254181917811</c:v>
                </c:pt>
                <c:pt idx="6">
                  <c:v>1.4927623631506852</c:v>
                </c:pt>
                <c:pt idx="7">
                  <c:v>1.6802993081095894</c:v>
                </c:pt>
                <c:pt idx="8">
                  <c:v>1.8678362530684935</c:v>
                </c:pt>
                <c:pt idx="9">
                  <c:v>2.0553731980273975</c:v>
                </c:pt>
                <c:pt idx="10">
                  <c:v>2.2429101429863016</c:v>
                </c:pt>
                <c:pt idx="11">
                  <c:v>2.4304470879452058</c:v>
                </c:pt>
                <c:pt idx="12">
                  <c:v>2.61798403290411</c:v>
                </c:pt>
                <c:pt idx="13">
                  <c:v>2.8055209778630141</c:v>
                </c:pt>
                <c:pt idx="14">
                  <c:v>2.9930579228219183</c:v>
                </c:pt>
                <c:pt idx="15">
                  <c:v>3.1805948677808225</c:v>
                </c:pt>
                <c:pt idx="16">
                  <c:v>4.7708923016712337</c:v>
                </c:pt>
              </c:numCache>
            </c:numRef>
          </c:xVal>
          <c:yVal>
            <c:numRef>
              <c:f>'Case 1 Pre Code'!$L$44:$L$60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7.1506849315068496E-2</c:v>
                </c:pt>
                <c:pt idx="2">
                  <c:v>8.240725913764177E-2</c:v>
                </c:pt>
                <c:pt idx="3">
                  <c:v>8.799879778328959E-2</c:v>
                </c:pt>
                <c:pt idx="4">
                  <c:v>9.2076676520005146E-2</c:v>
                </c:pt>
                <c:pt idx="5">
                  <c:v>9.5296281739669572E-2</c:v>
                </c:pt>
                <c:pt idx="6">
                  <c:v>9.7924368666371817E-2</c:v>
                </c:pt>
                <c:pt idx="7">
                  <c:v>0.10010091742283703</c:v>
                </c:pt>
                <c:pt idx="8">
                  <c:v>0.10190979925582497</c:v>
                </c:pt>
                <c:pt idx="9">
                  <c:v>0.10340543252892606</c:v>
                </c:pt>
                <c:pt idx="10">
                  <c:v>0.10462490970351901</c:v>
                </c:pt>
                <c:pt idx="11">
                  <c:v>0.10559422446446884</c:v>
                </c:pt>
                <c:pt idx="12">
                  <c:v>0.10633174307888535</c:v>
                </c:pt>
                <c:pt idx="13">
                  <c:v>0.10685024565823528</c:v>
                </c:pt>
                <c:pt idx="14">
                  <c:v>0.10715815660894927</c:v>
                </c:pt>
                <c:pt idx="15">
                  <c:v>0.10726027397260274</c:v>
                </c:pt>
                <c:pt idx="16">
                  <c:v>0.10726027397260274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F8-47CE-8C26-0F101696444D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1 Pre Code'!$N$44:$N$60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1.159</c:v>
                </c:pt>
                <c:pt idx="2">
                  <c:v>1.8560000000000001</c:v>
                </c:pt>
                <c:pt idx="3">
                  <c:v>1.8560000000000001</c:v>
                </c:pt>
                <c:pt idx="4">
                  <c:v>1.9019999999999999</c:v>
                </c:pt>
                <c:pt idx="5">
                  <c:v>1.9510000000000001</c:v>
                </c:pt>
                <c:pt idx="6">
                  <c:v>2.0009999999999999</c:v>
                </c:pt>
                <c:pt idx="7">
                  <c:v>2.0550000000000002</c:v>
                </c:pt>
                <c:pt idx="8">
                  <c:v>2.1030000000000002</c:v>
                </c:pt>
                <c:pt idx="9">
                  <c:v>2.202</c:v>
                </c:pt>
                <c:pt idx="10">
                  <c:v>2.302</c:v>
                </c:pt>
                <c:pt idx="11">
                  <c:v>2.403</c:v>
                </c:pt>
                <c:pt idx="12">
                  <c:v>2.601</c:v>
                </c:pt>
                <c:pt idx="13">
                  <c:v>2.8010000000000002</c:v>
                </c:pt>
                <c:pt idx="14">
                  <c:v>3.0030000000000001</c:v>
                </c:pt>
                <c:pt idx="15">
                  <c:v>3.202</c:v>
                </c:pt>
                <c:pt idx="16">
                  <c:v>3.3519999999999999</c:v>
                </c:pt>
              </c:numCache>
            </c:numRef>
          </c:xVal>
          <c:yVal>
            <c:numRef>
              <c:f>'Case 1 Pre Code'!$M$44:$M$60</c:f>
              <c:numCache>
                <c:formatCode>0.0000</c:formatCode>
                <c:ptCount val="17"/>
                <c:pt idx="1">
                  <c:v>0.20699999999999999</c:v>
                </c:pt>
                <c:pt idx="2">
                  <c:v>0.20300000000000001</c:v>
                </c:pt>
                <c:pt idx="3">
                  <c:v>7.6999999999999999E-2</c:v>
                </c:pt>
                <c:pt idx="4">
                  <c:v>7.3999999999999996E-2</c:v>
                </c:pt>
                <c:pt idx="5">
                  <c:v>7.0000000000000007E-2</c:v>
                </c:pt>
                <c:pt idx="6">
                  <c:v>6.7000000000000004E-2</c:v>
                </c:pt>
                <c:pt idx="7">
                  <c:v>6.5000000000000002E-2</c:v>
                </c:pt>
                <c:pt idx="8">
                  <c:v>6.2E-2</c:v>
                </c:pt>
                <c:pt idx="9">
                  <c:v>5.8000000000000003E-2</c:v>
                </c:pt>
                <c:pt idx="10">
                  <c:v>5.3999999999999999E-2</c:v>
                </c:pt>
                <c:pt idx="11">
                  <c:v>5.0999999999999997E-2</c:v>
                </c:pt>
                <c:pt idx="12">
                  <c:v>4.5999999999999999E-2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3.5999999999999997E-2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F8-47CE-8C26-0F1016964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2.2110066347608544E-2"/>
              <c:y val="0.2424058294828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1 Post Benchmark'!$K$44:$K$60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2.0480450794520553</c:v>
                </c:pt>
                <c:pt idx="2">
                  <c:v>3.3880517171506854</c:v>
                </c:pt>
                <c:pt idx="3">
                  <c:v>4.728058354849316</c:v>
                </c:pt>
                <c:pt idx="4">
                  <c:v>6.0680649925479466</c:v>
                </c:pt>
                <c:pt idx="5">
                  <c:v>7.4080716302465772</c:v>
                </c:pt>
                <c:pt idx="6">
                  <c:v>8.7480782679452069</c:v>
                </c:pt>
                <c:pt idx="7">
                  <c:v>10.088084905643838</c:v>
                </c:pt>
                <c:pt idx="8">
                  <c:v>11.428091543342468</c:v>
                </c:pt>
                <c:pt idx="9">
                  <c:v>12.768098181041099</c:v>
                </c:pt>
                <c:pt idx="10">
                  <c:v>14.108104818739729</c:v>
                </c:pt>
                <c:pt idx="11">
                  <c:v>15.44811145643836</c:v>
                </c:pt>
                <c:pt idx="12">
                  <c:v>16.788118094136991</c:v>
                </c:pt>
                <c:pt idx="13">
                  <c:v>18.128124731835619</c:v>
                </c:pt>
                <c:pt idx="14">
                  <c:v>19.468131369534248</c:v>
                </c:pt>
                <c:pt idx="15">
                  <c:v>20.808138007232881</c:v>
                </c:pt>
                <c:pt idx="16">
                  <c:v>31.212207010849319</c:v>
                </c:pt>
              </c:numCache>
            </c:numRef>
          </c:xVal>
          <c:yVal>
            <c:numRef>
              <c:f>'Case 1 Post Benchmark'!$L$44:$L$60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0.26383561643835618</c:v>
                </c:pt>
                <c:pt idx="2">
                  <c:v>0.34371470557991352</c:v>
                </c:pt>
                <c:pt idx="3">
                  <c:v>0.38505085796117722</c:v>
                </c:pt>
                <c:pt idx="4">
                  <c:v>0.41522701172646903</c:v>
                </c:pt>
                <c:pt idx="5">
                  <c:v>0.43906178481885827</c:v>
                </c:pt>
                <c:pt idx="6">
                  <c:v>0.4585219228071552</c:v>
                </c:pt>
                <c:pt idx="7">
                  <c:v>0.4746408320369756</c:v>
                </c:pt>
                <c:pt idx="8">
                  <c:v>0.48803817231765728</c:v>
                </c:pt>
                <c:pt idx="9">
                  <c:v>0.49911620216400099</c:v>
                </c:pt>
                <c:pt idx="10">
                  <c:v>0.50814920383462181</c:v>
                </c:pt>
                <c:pt idx="11">
                  <c:v>0.5153294373522409</c:v>
                </c:pt>
                <c:pt idx="12">
                  <c:v>0.52079277194431972</c:v>
                </c:pt>
                <c:pt idx="13">
                  <c:v>0.52463376417936558</c:v>
                </c:pt>
                <c:pt idx="14">
                  <c:v>0.52691474960394868</c:v>
                </c:pt>
                <c:pt idx="15">
                  <c:v>0.52767123287671236</c:v>
                </c:pt>
                <c:pt idx="16">
                  <c:v>0.52767123287671236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25-4035-8DA9-F4656F164460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1 Pre Code'!$N$44:$N$60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1.159</c:v>
                </c:pt>
                <c:pt idx="2">
                  <c:v>1.8560000000000001</c:v>
                </c:pt>
                <c:pt idx="3">
                  <c:v>1.8560000000000001</c:v>
                </c:pt>
                <c:pt idx="4">
                  <c:v>1.9019999999999999</c:v>
                </c:pt>
                <c:pt idx="5">
                  <c:v>1.9510000000000001</c:v>
                </c:pt>
                <c:pt idx="6">
                  <c:v>2.0009999999999999</c:v>
                </c:pt>
                <c:pt idx="7">
                  <c:v>2.0550000000000002</c:v>
                </c:pt>
                <c:pt idx="8">
                  <c:v>2.1030000000000002</c:v>
                </c:pt>
                <c:pt idx="9">
                  <c:v>2.202</c:v>
                </c:pt>
                <c:pt idx="10">
                  <c:v>2.302</c:v>
                </c:pt>
                <c:pt idx="11">
                  <c:v>2.403</c:v>
                </c:pt>
                <c:pt idx="12">
                  <c:v>2.601</c:v>
                </c:pt>
                <c:pt idx="13">
                  <c:v>2.8010000000000002</c:v>
                </c:pt>
                <c:pt idx="14">
                  <c:v>3.0030000000000001</c:v>
                </c:pt>
                <c:pt idx="15">
                  <c:v>3.202</c:v>
                </c:pt>
                <c:pt idx="16">
                  <c:v>3.3519999999999999</c:v>
                </c:pt>
              </c:numCache>
            </c:numRef>
          </c:xVal>
          <c:yVal>
            <c:numRef>
              <c:f>'Case 1 Pre Code'!$M$44:$M$60</c:f>
              <c:numCache>
                <c:formatCode>0.0000</c:formatCode>
                <c:ptCount val="17"/>
                <c:pt idx="1">
                  <c:v>0.20699999999999999</c:v>
                </c:pt>
                <c:pt idx="2">
                  <c:v>0.20300000000000001</c:v>
                </c:pt>
                <c:pt idx="3">
                  <c:v>7.6999999999999999E-2</c:v>
                </c:pt>
                <c:pt idx="4">
                  <c:v>7.3999999999999996E-2</c:v>
                </c:pt>
                <c:pt idx="5">
                  <c:v>7.0000000000000007E-2</c:v>
                </c:pt>
                <c:pt idx="6">
                  <c:v>6.7000000000000004E-2</c:v>
                </c:pt>
                <c:pt idx="7">
                  <c:v>6.5000000000000002E-2</c:v>
                </c:pt>
                <c:pt idx="8">
                  <c:v>6.2E-2</c:v>
                </c:pt>
                <c:pt idx="9">
                  <c:v>5.8000000000000003E-2</c:v>
                </c:pt>
                <c:pt idx="10">
                  <c:v>5.3999999999999999E-2</c:v>
                </c:pt>
                <c:pt idx="11">
                  <c:v>5.0999999999999997E-2</c:v>
                </c:pt>
                <c:pt idx="12">
                  <c:v>4.5999999999999999E-2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3.5999999999999997E-2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25-4035-8DA9-F4656F164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2.2110066347608544E-2"/>
              <c:y val="0.2424058294828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2 Post Benchmark'!$K$44:$K$60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1.009443417721519</c:v>
                </c:pt>
                <c:pt idx="2">
                  <c:v>1.6699078253164559</c:v>
                </c:pt>
                <c:pt idx="3">
                  <c:v>2.3303722329113925</c:v>
                </c:pt>
                <c:pt idx="4">
                  <c:v>2.9908366405063291</c:v>
                </c:pt>
                <c:pt idx="5">
                  <c:v>3.6513010481012658</c:v>
                </c:pt>
                <c:pt idx="6">
                  <c:v>4.3117654556962028</c:v>
                </c:pt>
                <c:pt idx="7">
                  <c:v>4.9722298632911395</c:v>
                </c:pt>
                <c:pt idx="8">
                  <c:v>5.6326942708860761</c:v>
                </c:pt>
                <c:pt idx="9">
                  <c:v>6.2931586784810127</c:v>
                </c:pt>
                <c:pt idx="10">
                  <c:v>6.9536230860759494</c:v>
                </c:pt>
                <c:pt idx="11">
                  <c:v>7.614087493670886</c:v>
                </c:pt>
                <c:pt idx="12">
                  <c:v>8.2745519012658235</c:v>
                </c:pt>
                <c:pt idx="13">
                  <c:v>8.9350163088607601</c:v>
                </c:pt>
                <c:pt idx="14">
                  <c:v>9.5954807164556968</c:v>
                </c:pt>
                <c:pt idx="15">
                  <c:v>10.255945124050633</c:v>
                </c:pt>
                <c:pt idx="16">
                  <c:v>15.38391768607595</c:v>
                </c:pt>
              </c:numCache>
            </c:numRef>
          </c:xVal>
          <c:yVal>
            <c:numRef>
              <c:f>'Case 2 Post Benchmark'!$L$44:$L$60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0.24379746835443036</c:v>
                </c:pt>
                <c:pt idx="2">
                  <c:v>0.31760979123207245</c:v>
                </c:pt>
                <c:pt idx="3">
                  <c:v>0.35580648900210066</c:v>
                </c:pt>
                <c:pt idx="4">
                  <c:v>0.38369078298775</c:v>
                </c:pt>
                <c:pt idx="5">
                  <c:v>0.40571532014907163</c:v>
                </c:pt>
                <c:pt idx="6">
                  <c:v>0.42369747297370047</c:v>
                </c:pt>
                <c:pt idx="7">
                  <c:v>0.43859216124935718</c:v>
                </c:pt>
                <c:pt idx="8">
                  <c:v>0.4509719820150504</c:v>
                </c:pt>
                <c:pt idx="9">
                  <c:v>0.4612086425059756</c:v>
                </c:pt>
                <c:pt idx="10">
                  <c:v>0.46955559341680231</c:v>
                </c:pt>
                <c:pt idx="11">
                  <c:v>0.4761904927432099</c:v>
                </c:pt>
                <c:pt idx="12">
                  <c:v>0.48123889053082702</c:v>
                </c:pt>
                <c:pt idx="13">
                  <c:v>0.48478816183662887</c:v>
                </c:pt>
                <c:pt idx="14">
                  <c:v>0.48689590786187653</c:v>
                </c:pt>
                <c:pt idx="15">
                  <c:v>0.48759493670886067</c:v>
                </c:pt>
                <c:pt idx="16">
                  <c:v>0.48759493670886067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35-45FC-BC0E-6AC9CBFDBE67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2 Post Benchmark'!$N$44:$N$60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1.139</c:v>
                </c:pt>
                <c:pt idx="2">
                  <c:v>1.3560000000000001</c:v>
                </c:pt>
                <c:pt idx="3">
                  <c:v>1.3580000000000001</c:v>
                </c:pt>
                <c:pt idx="4">
                  <c:v>1.4</c:v>
                </c:pt>
                <c:pt idx="5">
                  <c:v>1.45</c:v>
                </c:pt>
                <c:pt idx="6">
                  <c:v>1.506</c:v>
                </c:pt>
                <c:pt idx="7">
                  <c:v>1.6</c:v>
                </c:pt>
                <c:pt idx="8">
                  <c:v>1.706</c:v>
                </c:pt>
                <c:pt idx="9">
                  <c:v>1.8520000000000001</c:v>
                </c:pt>
                <c:pt idx="10">
                  <c:v>2.008</c:v>
                </c:pt>
                <c:pt idx="11">
                  <c:v>2.2040000000000002</c:v>
                </c:pt>
                <c:pt idx="12">
                  <c:v>2.4020000000000001</c:v>
                </c:pt>
                <c:pt idx="13">
                  <c:v>2.6059999999999999</c:v>
                </c:pt>
                <c:pt idx="14">
                  <c:v>2.8</c:v>
                </c:pt>
                <c:pt idx="15">
                  <c:v>3.0009999999999999</c:v>
                </c:pt>
                <c:pt idx="16">
                  <c:v>3.5270000000000001</c:v>
                </c:pt>
              </c:numCache>
            </c:numRef>
          </c:xVal>
          <c:yVal>
            <c:numRef>
              <c:f>'Case 2 Post Benchmark'!$M$44:$M$60</c:f>
              <c:numCache>
                <c:formatCode>0.0000</c:formatCode>
                <c:ptCount val="17"/>
                <c:pt idx="1">
                  <c:v>0.28299999999999997</c:v>
                </c:pt>
                <c:pt idx="2">
                  <c:v>0.27800000000000002</c:v>
                </c:pt>
                <c:pt idx="3">
                  <c:v>0.105</c:v>
                </c:pt>
                <c:pt idx="4">
                  <c:v>9.9000000000000005E-2</c:v>
                </c:pt>
                <c:pt idx="5">
                  <c:v>9.4E-2</c:v>
                </c:pt>
                <c:pt idx="6">
                  <c:v>8.7999999999999995E-2</c:v>
                </c:pt>
                <c:pt idx="7">
                  <c:v>0.08</c:v>
                </c:pt>
                <c:pt idx="8">
                  <c:v>7.2999999999999995E-2</c:v>
                </c:pt>
                <c:pt idx="9">
                  <c:v>6.5000000000000002E-2</c:v>
                </c:pt>
                <c:pt idx="10">
                  <c:v>5.8999999999999997E-2</c:v>
                </c:pt>
                <c:pt idx="11">
                  <c:v>5.2999999999999999E-2</c:v>
                </c:pt>
                <c:pt idx="12">
                  <c:v>4.8000000000000001E-2</c:v>
                </c:pt>
                <c:pt idx="13">
                  <c:v>4.2999999999999997E-2</c:v>
                </c:pt>
                <c:pt idx="14">
                  <c:v>0.04</c:v>
                </c:pt>
                <c:pt idx="15">
                  <c:v>3.6999999999999998E-2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35-45FC-BC0E-6AC9CBFDB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1 Pre Code'!$K$44:$K$60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0.55507763835616453</c:v>
                </c:pt>
                <c:pt idx="2">
                  <c:v>0.74261458331506869</c:v>
                </c:pt>
                <c:pt idx="3">
                  <c:v>0.93015152827397285</c:v>
                </c:pt>
                <c:pt idx="4">
                  <c:v>1.1176884732328769</c:v>
                </c:pt>
                <c:pt idx="5">
                  <c:v>1.3052254181917811</c:v>
                </c:pt>
                <c:pt idx="6">
                  <c:v>1.4927623631506852</c:v>
                </c:pt>
                <c:pt idx="7">
                  <c:v>1.6802993081095894</c:v>
                </c:pt>
                <c:pt idx="8">
                  <c:v>1.8678362530684935</c:v>
                </c:pt>
                <c:pt idx="9">
                  <c:v>2.0553731980273975</c:v>
                </c:pt>
                <c:pt idx="10">
                  <c:v>2.2429101429863016</c:v>
                </c:pt>
                <c:pt idx="11">
                  <c:v>2.4304470879452058</c:v>
                </c:pt>
                <c:pt idx="12">
                  <c:v>2.61798403290411</c:v>
                </c:pt>
                <c:pt idx="13">
                  <c:v>2.8055209778630141</c:v>
                </c:pt>
                <c:pt idx="14">
                  <c:v>2.9930579228219183</c:v>
                </c:pt>
                <c:pt idx="15">
                  <c:v>3.1805948677808225</c:v>
                </c:pt>
                <c:pt idx="16">
                  <c:v>4.7708923016712337</c:v>
                </c:pt>
              </c:numCache>
            </c:numRef>
          </c:xVal>
          <c:yVal>
            <c:numRef>
              <c:f>'Case 1 Pre Code'!$L$44:$L$60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7.1506849315068496E-2</c:v>
                </c:pt>
                <c:pt idx="2">
                  <c:v>8.240725913764177E-2</c:v>
                </c:pt>
                <c:pt idx="3">
                  <c:v>8.799879778328959E-2</c:v>
                </c:pt>
                <c:pt idx="4">
                  <c:v>9.2076676520005146E-2</c:v>
                </c:pt>
                <c:pt idx="5">
                  <c:v>9.5296281739669572E-2</c:v>
                </c:pt>
                <c:pt idx="6">
                  <c:v>9.7924368666371817E-2</c:v>
                </c:pt>
                <c:pt idx="7">
                  <c:v>0.10010091742283703</c:v>
                </c:pt>
                <c:pt idx="8">
                  <c:v>0.10190979925582497</c:v>
                </c:pt>
                <c:pt idx="9">
                  <c:v>0.10340543252892606</c:v>
                </c:pt>
                <c:pt idx="10">
                  <c:v>0.10462490970351901</c:v>
                </c:pt>
                <c:pt idx="11">
                  <c:v>0.10559422446446884</c:v>
                </c:pt>
                <c:pt idx="12">
                  <c:v>0.10633174307888535</c:v>
                </c:pt>
                <c:pt idx="13">
                  <c:v>0.10685024565823528</c:v>
                </c:pt>
                <c:pt idx="14">
                  <c:v>0.10715815660894927</c:v>
                </c:pt>
                <c:pt idx="15">
                  <c:v>0.10726027397260274</c:v>
                </c:pt>
                <c:pt idx="16">
                  <c:v>0.10726027397260274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F3-426A-A480-7010B7F4F26B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1 Pre Code'!$N$44:$N$60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1.159</c:v>
                </c:pt>
                <c:pt idx="2">
                  <c:v>1.8560000000000001</c:v>
                </c:pt>
                <c:pt idx="3">
                  <c:v>1.8560000000000001</c:v>
                </c:pt>
                <c:pt idx="4">
                  <c:v>1.9019999999999999</c:v>
                </c:pt>
                <c:pt idx="5">
                  <c:v>1.9510000000000001</c:v>
                </c:pt>
                <c:pt idx="6">
                  <c:v>2.0009999999999999</c:v>
                </c:pt>
                <c:pt idx="7">
                  <c:v>2.0550000000000002</c:v>
                </c:pt>
                <c:pt idx="8">
                  <c:v>2.1030000000000002</c:v>
                </c:pt>
                <c:pt idx="9">
                  <c:v>2.202</c:v>
                </c:pt>
                <c:pt idx="10">
                  <c:v>2.302</c:v>
                </c:pt>
                <c:pt idx="11">
                  <c:v>2.403</c:v>
                </c:pt>
                <c:pt idx="12">
                  <c:v>2.601</c:v>
                </c:pt>
                <c:pt idx="13">
                  <c:v>2.8010000000000002</c:v>
                </c:pt>
                <c:pt idx="14">
                  <c:v>3.0030000000000001</c:v>
                </c:pt>
                <c:pt idx="15">
                  <c:v>3.202</c:v>
                </c:pt>
                <c:pt idx="16">
                  <c:v>3.3519999999999999</c:v>
                </c:pt>
              </c:numCache>
            </c:numRef>
          </c:xVal>
          <c:yVal>
            <c:numRef>
              <c:f>'Case 1 Pre Code'!$M$44:$M$60</c:f>
              <c:numCache>
                <c:formatCode>0.0000</c:formatCode>
                <c:ptCount val="17"/>
                <c:pt idx="1">
                  <c:v>0.20699999999999999</c:v>
                </c:pt>
                <c:pt idx="2">
                  <c:v>0.20300000000000001</c:v>
                </c:pt>
                <c:pt idx="3">
                  <c:v>7.6999999999999999E-2</c:v>
                </c:pt>
                <c:pt idx="4">
                  <c:v>7.3999999999999996E-2</c:v>
                </c:pt>
                <c:pt idx="5">
                  <c:v>7.0000000000000007E-2</c:v>
                </c:pt>
                <c:pt idx="6">
                  <c:v>6.7000000000000004E-2</c:v>
                </c:pt>
                <c:pt idx="7">
                  <c:v>6.5000000000000002E-2</c:v>
                </c:pt>
                <c:pt idx="8">
                  <c:v>6.2E-2</c:v>
                </c:pt>
                <c:pt idx="9">
                  <c:v>5.8000000000000003E-2</c:v>
                </c:pt>
                <c:pt idx="10">
                  <c:v>5.3999999999999999E-2</c:v>
                </c:pt>
                <c:pt idx="11">
                  <c:v>5.0999999999999997E-2</c:v>
                </c:pt>
                <c:pt idx="12">
                  <c:v>4.5999999999999999E-2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3.5999999999999997E-2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F3-426A-A480-7010B7F4F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2.2110066347608544E-2"/>
              <c:y val="0.2424058294828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1 Que D'!$K$44:$K$60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0.82304615342465748</c:v>
                </c:pt>
                <c:pt idx="2">
                  <c:v>1.2134051861917807</c:v>
                </c:pt>
                <c:pt idx="3">
                  <c:v>1.6037642189589039</c:v>
                </c:pt>
                <c:pt idx="4">
                  <c:v>1.9941232517260272</c:v>
                </c:pt>
                <c:pt idx="5">
                  <c:v>2.3844822844931506</c:v>
                </c:pt>
                <c:pt idx="6">
                  <c:v>2.7748413172602739</c:v>
                </c:pt>
                <c:pt idx="7">
                  <c:v>3.1652003500273973</c:v>
                </c:pt>
                <c:pt idx="8">
                  <c:v>3.5555593827945207</c:v>
                </c:pt>
                <c:pt idx="9">
                  <c:v>3.945918415561644</c:v>
                </c:pt>
                <c:pt idx="10">
                  <c:v>4.3362774483287669</c:v>
                </c:pt>
                <c:pt idx="11">
                  <c:v>4.7266364810958903</c:v>
                </c:pt>
                <c:pt idx="12">
                  <c:v>5.1169955138630137</c:v>
                </c:pt>
                <c:pt idx="13">
                  <c:v>5.507354546630137</c:v>
                </c:pt>
                <c:pt idx="14">
                  <c:v>5.8977135793972604</c:v>
                </c:pt>
                <c:pt idx="15">
                  <c:v>6.2880726121643828</c:v>
                </c:pt>
                <c:pt idx="16">
                  <c:v>9.4321089182465734</c:v>
                </c:pt>
              </c:numCache>
            </c:numRef>
          </c:xVal>
          <c:yVal>
            <c:numRef>
              <c:f>'Case 1 Que D'!$L$44:$L$60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0.10602739726027396</c:v>
                </c:pt>
                <c:pt idx="2">
                  <c:v>0.13550523885869761</c:v>
                </c:pt>
                <c:pt idx="3">
                  <c:v>0.15238826813123357</c:v>
                </c:pt>
                <c:pt idx="4">
                  <c:v>0.16489603274153092</c:v>
                </c:pt>
                <c:pt idx="5">
                  <c:v>0.17483748984169004</c:v>
                </c:pt>
                <c:pt idx="6">
                  <c:v>0.18298248270562001</c:v>
                </c:pt>
                <c:pt idx="7">
                  <c:v>0.18974372546352691</c:v>
                </c:pt>
                <c:pt idx="8">
                  <c:v>0.19537166575562093</c:v>
                </c:pt>
                <c:pt idx="9">
                  <c:v>0.20003016603470569</c:v>
                </c:pt>
                <c:pt idx="10">
                  <c:v>0.20383156918710818</c:v>
                </c:pt>
                <c:pt idx="11">
                  <c:v>0.20685493227265067</c:v>
                </c:pt>
                <c:pt idx="12">
                  <c:v>0.20915628389755489</c:v>
                </c:pt>
                <c:pt idx="13">
                  <c:v>0.21077469653039355</c:v>
                </c:pt>
                <c:pt idx="14">
                  <c:v>0.21173596499087732</c:v>
                </c:pt>
                <c:pt idx="15">
                  <c:v>0.21205479452054793</c:v>
                </c:pt>
                <c:pt idx="16">
                  <c:v>0.21205479452054793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A2-47F2-9BC6-013770BE588C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1 Que D'!$N$44:$N$60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1.159</c:v>
                </c:pt>
                <c:pt idx="2">
                  <c:v>1.8560000000000001</c:v>
                </c:pt>
                <c:pt idx="3">
                  <c:v>1.8560000000000001</c:v>
                </c:pt>
                <c:pt idx="4">
                  <c:v>1.9019999999999999</c:v>
                </c:pt>
                <c:pt idx="5">
                  <c:v>1.9510000000000001</c:v>
                </c:pt>
                <c:pt idx="6">
                  <c:v>2.0009999999999999</c:v>
                </c:pt>
                <c:pt idx="7">
                  <c:v>2.0550000000000002</c:v>
                </c:pt>
                <c:pt idx="8">
                  <c:v>2.1030000000000002</c:v>
                </c:pt>
                <c:pt idx="9">
                  <c:v>2.202</c:v>
                </c:pt>
                <c:pt idx="10">
                  <c:v>2.302</c:v>
                </c:pt>
                <c:pt idx="11">
                  <c:v>2.403</c:v>
                </c:pt>
                <c:pt idx="12">
                  <c:v>2.601</c:v>
                </c:pt>
                <c:pt idx="13">
                  <c:v>2.8010000000000002</c:v>
                </c:pt>
                <c:pt idx="14">
                  <c:v>3.0030000000000001</c:v>
                </c:pt>
                <c:pt idx="15">
                  <c:v>3.202</c:v>
                </c:pt>
                <c:pt idx="16">
                  <c:v>3.3519999999999999</c:v>
                </c:pt>
              </c:numCache>
            </c:numRef>
          </c:xVal>
          <c:yVal>
            <c:numRef>
              <c:f>'Case 1 Que D'!$M$44:$M$60</c:f>
              <c:numCache>
                <c:formatCode>0.0000</c:formatCode>
                <c:ptCount val="17"/>
                <c:pt idx="1">
                  <c:v>0.20699999999999999</c:v>
                </c:pt>
                <c:pt idx="2">
                  <c:v>0.20300000000000001</c:v>
                </c:pt>
                <c:pt idx="3">
                  <c:v>7.6999999999999999E-2</c:v>
                </c:pt>
                <c:pt idx="4">
                  <c:v>7.3999999999999996E-2</c:v>
                </c:pt>
                <c:pt idx="5">
                  <c:v>7.0000000000000007E-2</c:v>
                </c:pt>
                <c:pt idx="6">
                  <c:v>6.7000000000000004E-2</c:v>
                </c:pt>
                <c:pt idx="7">
                  <c:v>6.5000000000000002E-2</c:v>
                </c:pt>
                <c:pt idx="8">
                  <c:v>6.2E-2</c:v>
                </c:pt>
                <c:pt idx="9">
                  <c:v>5.8000000000000003E-2</c:v>
                </c:pt>
                <c:pt idx="10">
                  <c:v>5.3999999999999999E-2</c:v>
                </c:pt>
                <c:pt idx="11">
                  <c:v>5.0999999999999997E-2</c:v>
                </c:pt>
                <c:pt idx="12">
                  <c:v>4.5999999999999999E-2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3.5999999999999997E-2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A2-47F2-9BC6-013770BE5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2.2110066347608544E-2"/>
              <c:y val="0.2424058294828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Capacity</a:t>
            </a:r>
            <a:r>
              <a:rPr lang="en-ID" baseline="0"/>
              <a:t> Curve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Capacity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'Case 2 Que D'!$K$44:$K$60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0.40566417721518988</c:v>
                </c:pt>
                <c:pt idx="2">
                  <c:v>0.59806490126582279</c:v>
                </c:pt>
                <c:pt idx="3">
                  <c:v>0.7904656253164557</c:v>
                </c:pt>
                <c:pt idx="4">
                  <c:v>0.98286634936708861</c:v>
                </c:pt>
                <c:pt idx="5">
                  <c:v>1.1752670734177215</c:v>
                </c:pt>
                <c:pt idx="6">
                  <c:v>1.3676677974683544</c:v>
                </c:pt>
                <c:pt idx="7">
                  <c:v>1.5600685215189873</c:v>
                </c:pt>
                <c:pt idx="8">
                  <c:v>1.7524692455696202</c:v>
                </c:pt>
                <c:pt idx="9">
                  <c:v>1.9448699696202532</c:v>
                </c:pt>
                <c:pt idx="10">
                  <c:v>2.1372706936708861</c:v>
                </c:pt>
                <c:pt idx="11">
                  <c:v>2.329671417721519</c:v>
                </c:pt>
                <c:pt idx="12">
                  <c:v>2.5220721417721519</c:v>
                </c:pt>
                <c:pt idx="13">
                  <c:v>2.7144728658227848</c:v>
                </c:pt>
                <c:pt idx="14">
                  <c:v>2.9068735898734177</c:v>
                </c:pt>
                <c:pt idx="15">
                  <c:v>3.0992743139240506</c:v>
                </c:pt>
                <c:pt idx="16">
                  <c:v>4.6489114708860759</c:v>
                </c:pt>
              </c:numCache>
            </c:numRef>
          </c:xVal>
          <c:yVal>
            <c:numRef>
              <c:f>'Case 2 Que D'!$L$44:$L$60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9.7974683544303789E-2</c:v>
                </c:pt>
                <c:pt idx="2">
                  <c:v>0.125213701730189</c:v>
                </c:pt>
                <c:pt idx="3">
                  <c:v>0.1408144756149374</c:v>
                </c:pt>
                <c:pt idx="4">
                  <c:v>0.15237228341938935</c:v>
                </c:pt>
                <c:pt idx="5">
                  <c:v>0.16155869314485283</c:v>
                </c:pt>
                <c:pt idx="6">
                  <c:v>0.16908507895582608</c:v>
                </c:pt>
                <c:pt idx="7">
                  <c:v>0.17533280960553754</c:v>
                </c:pt>
                <c:pt idx="8">
                  <c:v>0.18053331139443454</c:v>
                </c:pt>
                <c:pt idx="9">
                  <c:v>0.1848380015257407</c:v>
                </c:pt>
                <c:pt idx="10">
                  <c:v>0.18835069051466957</c:v>
                </c:pt>
                <c:pt idx="11">
                  <c:v>0.19114443108738607</c:v>
                </c:pt>
                <c:pt idx="12">
                  <c:v>0.19327099651293048</c:v>
                </c:pt>
                <c:pt idx="13">
                  <c:v>0.19476649173061683</c:v>
                </c:pt>
                <c:pt idx="14">
                  <c:v>0.19565475245992464</c:v>
                </c:pt>
                <c:pt idx="15">
                  <c:v>0.19594936708860758</c:v>
                </c:pt>
                <c:pt idx="16">
                  <c:v>0.19594936708860758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C-4254-9C61-D780007A4E39}"/>
            </c:ext>
          </c:extLst>
        </c:ser>
        <c:ser>
          <c:idx val="0"/>
          <c:order val="1"/>
          <c:tx>
            <c:v>Demand Spectrum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2 Que D'!$N$44:$N$60</c:f>
              <c:numCache>
                <c:formatCode>0.0000</c:formatCode>
                <c:ptCount val="17"/>
                <c:pt idx="0" formatCode="General">
                  <c:v>0</c:v>
                </c:pt>
                <c:pt idx="1">
                  <c:v>1.139</c:v>
                </c:pt>
                <c:pt idx="2">
                  <c:v>1.3560000000000001</c:v>
                </c:pt>
                <c:pt idx="3">
                  <c:v>1.3580000000000001</c:v>
                </c:pt>
                <c:pt idx="4">
                  <c:v>1.4</c:v>
                </c:pt>
                <c:pt idx="5">
                  <c:v>1.45</c:v>
                </c:pt>
                <c:pt idx="6">
                  <c:v>1.506</c:v>
                </c:pt>
                <c:pt idx="7">
                  <c:v>1.6</c:v>
                </c:pt>
                <c:pt idx="8">
                  <c:v>1.706</c:v>
                </c:pt>
                <c:pt idx="9">
                  <c:v>1.8520000000000001</c:v>
                </c:pt>
                <c:pt idx="10">
                  <c:v>2.008</c:v>
                </c:pt>
                <c:pt idx="11">
                  <c:v>2.2040000000000002</c:v>
                </c:pt>
                <c:pt idx="12">
                  <c:v>2.4020000000000001</c:v>
                </c:pt>
                <c:pt idx="13">
                  <c:v>2.6059999999999999</c:v>
                </c:pt>
                <c:pt idx="14">
                  <c:v>2.8</c:v>
                </c:pt>
                <c:pt idx="15">
                  <c:v>3.0009999999999999</c:v>
                </c:pt>
                <c:pt idx="16">
                  <c:v>3.5270000000000001</c:v>
                </c:pt>
              </c:numCache>
            </c:numRef>
          </c:xVal>
          <c:yVal>
            <c:numRef>
              <c:f>'Case 2 Que D'!$M$44:$M$60</c:f>
              <c:numCache>
                <c:formatCode>0.0000</c:formatCode>
                <c:ptCount val="17"/>
                <c:pt idx="1">
                  <c:v>0.28299999999999997</c:v>
                </c:pt>
                <c:pt idx="2">
                  <c:v>0.27800000000000002</c:v>
                </c:pt>
                <c:pt idx="3">
                  <c:v>0.105</c:v>
                </c:pt>
                <c:pt idx="4">
                  <c:v>9.9000000000000005E-2</c:v>
                </c:pt>
                <c:pt idx="5">
                  <c:v>9.4E-2</c:v>
                </c:pt>
                <c:pt idx="6">
                  <c:v>8.7999999999999995E-2</c:v>
                </c:pt>
                <c:pt idx="7">
                  <c:v>0.08</c:v>
                </c:pt>
                <c:pt idx="8">
                  <c:v>7.2999999999999995E-2</c:v>
                </c:pt>
                <c:pt idx="9">
                  <c:v>6.5000000000000002E-2</c:v>
                </c:pt>
                <c:pt idx="10">
                  <c:v>5.8999999999999997E-2</c:v>
                </c:pt>
                <c:pt idx="11">
                  <c:v>5.2999999999999999E-2</c:v>
                </c:pt>
                <c:pt idx="12">
                  <c:v>4.8000000000000001E-2</c:v>
                </c:pt>
                <c:pt idx="13">
                  <c:v>4.2999999999999997E-2</c:v>
                </c:pt>
                <c:pt idx="14">
                  <c:v>0.04</c:v>
                </c:pt>
                <c:pt idx="15">
                  <c:v>3.6999999999999998E-2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0C-4254-9C61-D780007A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3871"/>
        <c:axId val="357645311"/>
      </c:scatterChart>
      <c:valAx>
        <c:axId val="35764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Displacement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5311"/>
        <c:crosses val="autoZero"/>
        <c:crossBetween val="midCat"/>
      </c:valAx>
      <c:valAx>
        <c:axId val="35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Spectral</a:t>
                </a:r>
                <a:r>
                  <a:rPr lang="en-ID" baseline="0"/>
                  <a:t> Acceleration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E68AAB07-AD97-6883-B5A0-D27398FDD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846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17</xdr:col>
      <xdr:colOff>1693</xdr:colOff>
      <xdr:row>44</xdr:row>
      <xdr:rowOff>32597</xdr:rowOff>
    </xdr:from>
    <xdr:to>
      <xdr:col>24</xdr:col>
      <xdr:colOff>306493</xdr:colOff>
      <xdr:row>59</xdr:row>
      <xdr:rowOff>32597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927F447-8171-DD49-D26C-CFC3321D9745}"/>
            </a:ext>
            <a:ext uri="{147F2762-F138-4A5C-976F-8EAC2B608ADB}">
              <a16:predDERef xmlns:a16="http://schemas.microsoft.com/office/drawing/2014/main" pred="{E68AAB07-AD97-6883-B5A0-D27398FDD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78033571-5049-44D4-B711-B295AE1C3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99060</xdr:colOff>
      <xdr:row>44</xdr:row>
      <xdr:rowOff>125730</xdr:rowOff>
    </xdr:from>
    <xdr:to>
      <xdr:col>22</xdr:col>
      <xdr:colOff>403860</xdr:colOff>
      <xdr:row>59</xdr:row>
      <xdr:rowOff>125730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5AC364-27E0-44B1-A278-F59C20E6E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48249477-7364-47F1-AAD7-465E54019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99060</xdr:colOff>
      <xdr:row>44</xdr:row>
      <xdr:rowOff>125730</xdr:rowOff>
    </xdr:from>
    <xdr:to>
      <xdr:col>22</xdr:col>
      <xdr:colOff>403860</xdr:colOff>
      <xdr:row>59</xdr:row>
      <xdr:rowOff>125730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1F294C9-107B-4354-A313-56C55749B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4A4A54BD-CC96-47A5-A9D0-8F72A804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16</xdr:col>
      <xdr:colOff>74815</xdr:colOff>
      <xdr:row>44</xdr:row>
      <xdr:rowOff>111182</xdr:rowOff>
    </xdr:from>
    <xdr:to>
      <xdr:col>23</xdr:col>
      <xdr:colOff>383771</xdr:colOff>
      <xdr:row>59</xdr:row>
      <xdr:rowOff>116031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DEF5F28-9F85-4D85-9DAF-09F1BF73D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6F6A8324-23D3-423D-A56F-C4928296F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99060</xdr:colOff>
      <xdr:row>44</xdr:row>
      <xdr:rowOff>125730</xdr:rowOff>
    </xdr:from>
    <xdr:to>
      <xdr:col>22</xdr:col>
      <xdr:colOff>403860</xdr:colOff>
      <xdr:row>59</xdr:row>
      <xdr:rowOff>125730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0B67345-9A3D-4990-9D29-F5DCAAA04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9" name="Picture 28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256A414A-DD57-41F9-A208-F21FB74F7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99060</xdr:colOff>
      <xdr:row>44</xdr:row>
      <xdr:rowOff>125730</xdr:rowOff>
    </xdr:from>
    <xdr:to>
      <xdr:col>22</xdr:col>
      <xdr:colOff>403860</xdr:colOff>
      <xdr:row>59</xdr:row>
      <xdr:rowOff>125730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847B2D49-B9D9-43F6-A2B3-5BF347660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3E0D6A64-1007-4906-8DE9-45E492B23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99060</xdr:colOff>
      <xdr:row>44</xdr:row>
      <xdr:rowOff>125730</xdr:rowOff>
    </xdr:from>
    <xdr:to>
      <xdr:col>22</xdr:col>
      <xdr:colOff>403860</xdr:colOff>
      <xdr:row>59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6F88E-CF0C-4A79-B3F0-C9ED34BF9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4BFDA386-6C31-4B89-85B6-9EDB72D57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99060</xdr:colOff>
      <xdr:row>44</xdr:row>
      <xdr:rowOff>125730</xdr:rowOff>
    </xdr:from>
    <xdr:to>
      <xdr:col>22</xdr:col>
      <xdr:colOff>403860</xdr:colOff>
      <xdr:row>59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6660A-DF41-4AF8-890E-24362EA5D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4" name="Picture 3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5AD7A860-CF9D-491B-9CB6-D0F2DDBB9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91440</xdr:colOff>
      <xdr:row>44</xdr:row>
      <xdr:rowOff>171450</xdr:rowOff>
    </xdr:from>
    <xdr:to>
      <xdr:col>22</xdr:col>
      <xdr:colOff>396240</xdr:colOff>
      <xdr:row>59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F4EE43-22BA-4773-88CD-6F0EC7D8D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</xdr:colOff>
      <xdr:row>0</xdr:row>
      <xdr:rowOff>0</xdr:rowOff>
    </xdr:from>
    <xdr:to>
      <xdr:col>14</xdr:col>
      <xdr:colOff>533400</xdr:colOff>
      <xdr:row>16</xdr:row>
      <xdr:rowOff>12065</xdr:rowOff>
    </xdr:to>
    <xdr:pic>
      <xdr:nvPicPr>
        <xdr:cNvPr id="2" name="Picture 1" descr="A table with black text and white text&#10;&#10;AI-generated content may be incorrect.">
          <a:extLst>
            <a:ext uri="{FF2B5EF4-FFF2-40B4-BE49-F238E27FC236}">
              <a16:creationId xmlns:a16="http://schemas.microsoft.com/office/drawing/2014/main" id="{EC50EFF5-2161-4EFB-8FFE-8261A9AE5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920" y="0"/>
          <a:ext cx="3147060" cy="2938145"/>
        </a:xfrm>
        <a:prstGeom prst="rect">
          <a:avLst/>
        </a:prstGeom>
      </xdr:spPr>
    </xdr:pic>
    <xdr:clientData/>
  </xdr:twoCellAnchor>
  <xdr:twoCellAnchor>
    <xdr:from>
      <xdr:col>15</xdr:col>
      <xdr:colOff>99060</xdr:colOff>
      <xdr:row>44</xdr:row>
      <xdr:rowOff>125730</xdr:rowOff>
    </xdr:from>
    <xdr:to>
      <xdr:col>22</xdr:col>
      <xdr:colOff>403860</xdr:colOff>
      <xdr:row>59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6A8C2-FFAF-4E49-866D-5879EA69D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A903-3EA5-43CB-9E0A-4019F0E3D89B}">
  <dimension ref="A1:N69"/>
  <sheetViews>
    <sheetView tabSelected="1" zoomScale="92" workbookViewId="0">
      <selection activeCell="B61" sqref="B61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3.6</v>
      </c>
    </row>
    <row r="4" spans="1:8" x14ac:dyDescent="0.3">
      <c r="B4" s="2" t="s">
        <v>2</v>
      </c>
      <c r="C4" s="3" t="s">
        <v>7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19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0.89</v>
      </c>
    </row>
    <row r="23" spans="1:2" x14ac:dyDescent="0.3">
      <c r="A23" s="4" t="s">
        <v>29</v>
      </c>
      <c r="B23" s="4">
        <v>4.2999999999999997E-2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2</v>
      </c>
    </row>
    <row r="26" spans="1:2" x14ac:dyDescent="0.3">
      <c r="A26" s="4" t="s">
        <v>24</v>
      </c>
      <c r="B26" s="4">
        <v>3.82</v>
      </c>
    </row>
    <row r="27" spans="1:2" x14ac:dyDescent="0.3">
      <c r="A27" s="4" t="s">
        <v>30</v>
      </c>
      <c r="B27" s="4">
        <v>0.73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1.62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0.4</v>
      </c>
    </row>
    <row r="32" spans="1:2" x14ac:dyDescent="0.3">
      <c r="A32" s="4" t="s">
        <v>34</v>
      </c>
      <c r="B32" s="4">
        <v>3.5000000000000003E-2</v>
      </c>
    </row>
    <row r="33" spans="1:14" x14ac:dyDescent="0.3">
      <c r="A33" s="4" t="s">
        <v>35</v>
      </c>
      <c r="B33" s="4">
        <v>0.92</v>
      </c>
    </row>
    <row r="34" spans="1:14" x14ac:dyDescent="0.3">
      <c r="A34" s="4" t="s">
        <v>26</v>
      </c>
      <c r="B34" s="4">
        <v>0.13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0.10602739726027396</v>
      </c>
    </row>
    <row r="39" spans="1:14" x14ac:dyDescent="0.3">
      <c r="A39" s="4" t="s">
        <v>37</v>
      </c>
      <c r="B39" s="6">
        <f>9.8*B38*(B22)^2</f>
        <v>0.82304615342465748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0.21205479452054793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6.2880726121643828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0.82304615342465748</v>
      </c>
      <c r="L45" s="6">
        <f>B38</f>
        <v>0.10602739726027396</v>
      </c>
      <c r="M45" s="6">
        <v>0.20699999999999999</v>
      </c>
      <c r="N45" s="6">
        <v>1.159</v>
      </c>
    </row>
    <row r="46" spans="1:14" x14ac:dyDescent="0.3">
      <c r="A46" s="4"/>
      <c r="B46" s="6"/>
      <c r="K46" s="6">
        <f>K45+($K$59-$K$45)/14</f>
        <v>1.2134051861917807</v>
      </c>
      <c r="L46" s="6">
        <f>SQRT((($B47^2*$B48^2)-(((K46-$B44)^2)*($B48^2)))/($B47^2))+($B49)</f>
        <v>0.13550523885869761</v>
      </c>
      <c r="M46" s="6">
        <v>0.20300000000000001</v>
      </c>
      <c r="N46" s="6">
        <v>1.8560000000000001</v>
      </c>
    </row>
    <row r="47" spans="1:14" x14ac:dyDescent="0.3">
      <c r="A47" s="7" t="s">
        <v>42</v>
      </c>
      <c r="B47" s="6">
        <f>SQRT((B39*B48^2*(B44-B39))/(B38*(B38-B49)))</f>
        <v>5.5530085599197472</v>
      </c>
      <c r="K47" s="6">
        <f t="shared" ref="K47:K58" si="0">K46+($K$59-$K$45)/14</f>
        <v>1.6037642189589039</v>
      </c>
      <c r="L47" s="6">
        <f>SQRT((($B47^2*$B48^2)-(((K47-$B44)^2)*($B48^2)))/($B47^2))+($B49)</f>
        <v>0.15238826813123357</v>
      </c>
      <c r="M47" s="6">
        <v>7.6999999999999999E-2</v>
      </c>
      <c r="N47" s="6">
        <v>1.8560000000000001</v>
      </c>
    </row>
    <row r="48" spans="1:14" x14ac:dyDescent="0.3">
      <c r="A48" s="7" t="s">
        <v>43</v>
      </c>
      <c r="B48" s="6">
        <f>B43-B49</f>
        <v>0.12887812942843649</v>
      </c>
      <c r="K48" s="6">
        <f t="shared" si="0"/>
        <v>1.9941232517260272</v>
      </c>
      <c r="L48" s="6">
        <f>SQRT((($B47^2*$B48^2)-(((K48-$B44)^2)*($B48^2)))/($B47^2))+($B49)</f>
        <v>0.16489603274153092</v>
      </c>
      <c r="M48" s="6">
        <v>7.3999999999999996E-2</v>
      </c>
      <c r="N48" s="6">
        <v>1.9019999999999999</v>
      </c>
    </row>
    <row r="49" spans="1:14" x14ac:dyDescent="0.3">
      <c r="A49" s="7" t="s">
        <v>44</v>
      </c>
      <c r="B49" s="6">
        <f>((B43^2-(B38^2)+(B38^2/B39)*(B39-B44))/(2*(B43-B38)+((B38/B39)*(B39-B44))))</f>
        <v>8.317666509211144E-2</v>
      </c>
      <c r="K49" s="6">
        <f t="shared" si="0"/>
        <v>2.3844822844931506</v>
      </c>
      <c r="L49" s="6">
        <f>SQRT((($B47^2*$B48^2)-(((K49-$B44)^2)*($B48^2)))/($B47^2))+($B49)</f>
        <v>0.17483748984169004</v>
      </c>
      <c r="M49" s="6">
        <v>7.0000000000000007E-2</v>
      </c>
      <c r="N49" s="6">
        <v>1.9510000000000001</v>
      </c>
    </row>
    <row r="50" spans="1:14" x14ac:dyDescent="0.3">
      <c r="K50" s="6">
        <f>K49+($K$59-$K$45)/14</f>
        <v>2.7748413172602739</v>
      </c>
      <c r="L50" s="6">
        <f>SQRT(((B47^2*B48^2)-(((K50-B44)^2)*(B48^2)))/(B47^2))+(B49)</f>
        <v>0.18298248270562001</v>
      </c>
      <c r="M50" s="6">
        <v>6.7000000000000004E-2</v>
      </c>
      <c r="N50" s="6">
        <v>2.0009999999999999</v>
      </c>
    </row>
    <row r="51" spans="1:14" x14ac:dyDescent="0.3">
      <c r="A51" s="5" t="s">
        <v>52</v>
      </c>
      <c r="K51" s="6">
        <f t="shared" si="0"/>
        <v>3.1652003500273973</v>
      </c>
      <c r="L51" s="6">
        <f>SQRT(((B47^2*B48^2)-(((K51-B44)^2)*(B48^2)))/(B47^2))+(B49)</f>
        <v>0.18974372546352691</v>
      </c>
      <c r="M51" s="6">
        <v>6.5000000000000002E-2</v>
      </c>
      <c r="N51" s="6">
        <v>2.0550000000000002</v>
      </c>
    </row>
    <row r="52" spans="1:14" x14ac:dyDescent="0.3">
      <c r="A52" s="5"/>
      <c r="K52" s="6">
        <f t="shared" si="0"/>
        <v>3.5555593827945207</v>
      </c>
      <c r="L52" s="6">
        <f>SQRT(((B47^2*B48^2)-(((K52-B44)^2)*(B48^2)))/(B47^2))+(B49)</f>
        <v>0.19537166575562093</v>
      </c>
      <c r="M52" s="6">
        <v>6.2E-2</v>
      </c>
      <c r="N52" s="6">
        <v>2.1030000000000002</v>
      </c>
    </row>
    <row r="53" spans="1:14" x14ac:dyDescent="0.3">
      <c r="A53" s="7" t="s">
        <v>53</v>
      </c>
      <c r="B53" s="4">
        <f>B32*B21*(B28/B29)*12</f>
        <v>11.2</v>
      </c>
      <c r="K53" s="6">
        <f t="shared" si="0"/>
        <v>3.945918415561644</v>
      </c>
      <c r="L53" s="6">
        <f>SQRT(((B47^2*B48^2)-(((K53-B44)^2)*(B48^2)))/(B47^2))+(B49)</f>
        <v>0.20003016603470569</v>
      </c>
      <c r="M53" s="6">
        <v>5.8000000000000003E-2</v>
      </c>
      <c r="N53" s="6">
        <v>2.202</v>
      </c>
    </row>
    <row r="54" spans="1:14" x14ac:dyDescent="0.3">
      <c r="A54" s="7" t="s">
        <v>46</v>
      </c>
      <c r="B54" s="4">
        <v>1.8560000000000001</v>
      </c>
      <c r="K54" s="6">
        <f t="shared" si="0"/>
        <v>4.3362774483287669</v>
      </c>
      <c r="L54" s="6">
        <f>SQRT(((B47^2*B48^2)-(((K54-B44)^2)*(B48^2)))/(B47^2))+(B49)</f>
        <v>0.20383156918710818</v>
      </c>
      <c r="M54" s="6">
        <v>5.3999999999999999E-2</v>
      </c>
      <c r="N54" s="6">
        <v>2.302</v>
      </c>
    </row>
    <row r="55" spans="1:14" x14ac:dyDescent="0.3">
      <c r="A55" s="7" t="s">
        <v>54</v>
      </c>
      <c r="B55" s="4">
        <f>(1/0.75)*(LN(B54/B53))</f>
        <v>-2.3966535252493864</v>
      </c>
      <c r="K55" s="6">
        <f t="shared" si="0"/>
        <v>4.7266364810958903</v>
      </c>
      <c r="L55" s="6">
        <f>SQRT(((B47^2*B48^2)-(((K55-B44)^2)*(B48^2)))/(B47^2))+(B49)</f>
        <v>0.20685493227265067</v>
      </c>
      <c r="M55" s="6">
        <v>5.0999999999999997E-2</v>
      </c>
      <c r="N55" s="6">
        <v>2.403</v>
      </c>
    </row>
    <row r="56" spans="1:14" ht="18" x14ac:dyDescent="0.35">
      <c r="A56" s="4"/>
      <c r="B56" s="4">
        <f>_xlfn.NORM.S.DIST(B55,TRUE)</f>
        <v>8.2727802741254745E-3</v>
      </c>
      <c r="D56" s="8"/>
      <c r="K56" s="6">
        <f t="shared" si="0"/>
        <v>5.1169955138630137</v>
      </c>
      <c r="L56" s="6">
        <f>SQRT(((B47^2*B48^2)-(((K56-B44)^2)*(B48^2)))/(B47^2))+(B49)</f>
        <v>0.20915628389755489</v>
      </c>
      <c r="M56" s="6">
        <v>4.5999999999999999E-2</v>
      </c>
      <c r="N56" s="6">
        <v>2.601</v>
      </c>
    </row>
    <row r="57" spans="1:14" x14ac:dyDescent="0.3">
      <c r="K57" s="6">
        <f t="shared" si="0"/>
        <v>5.507354546630137</v>
      </c>
      <c r="L57" s="6">
        <f>SQRT(((B47^2*B48^2)-(((K57-B44)^2)*(B48^2)))/(B47^2))+(B49)</f>
        <v>0.21077469653039355</v>
      </c>
      <c r="M57" s="6">
        <v>4.2000000000000003E-2</v>
      </c>
      <c r="N57" s="6">
        <v>2.8010000000000002</v>
      </c>
    </row>
    <row r="58" spans="1:14" x14ac:dyDescent="0.3">
      <c r="A58" s="5" t="s">
        <v>55</v>
      </c>
      <c r="K58" s="6">
        <f t="shared" si="0"/>
        <v>5.8977135793972604</v>
      </c>
      <c r="L58" s="6">
        <f>SQRT(((B47^2*B48^2)-(((K58-B44)^2)*(B48^2)))/(B47^2))+(B49)</f>
        <v>0.21173596499087732</v>
      </c>
      <c r="M58" s="6">
        <v>3.9E-2</v>
      </c>
      <c r="N58" s="6">
        <v>3.0030000000000001</v>
      </c>
    </row>
    <row r="59" spans="1:14" x14ac:dyDescent="0.3">
      <c r="K59" s="6">
        <f>B44</f>
        <v>6.2880726121643828</v>
      </c>
      <c r="L59" s="6">
        <f>SQRT(((B47^2*B48^2)-(((K59-B44)^2)*(B48^2)))/(B47^2))+(B49)</f>
        <v>0.21205479452054793</v>
      </c>
      <c r="M59" s="6">
        <v>3.5999999999999997E-2</v>
      </c>
      <c r="N59" s="6">
        <v>3.202</v>
      </c>
    </row>
    <row r="60" spans="1:14" x14ac:dyDescent="0.3">
      <c r="A60" t="s">
        <v>56</v>
      </c>
      <c r="B60">
        <f>B34*B56</f>
        <v>1.0754614356363117E-3</v>
      </c>
      <c r="K60" s="6">
        <f>K59*1.5</f>
        <v>9.4321089182465734</v>
      </c>
      <c r="L60" s="6">
        <f>L59</f>
        <v>0.21205479452054793</v>
      </c>
      <c r="M60" s="6">
        <v>3.4000000000000002E-2</v>
      </c>
      <c r="N60" s="6">
        <v>3.3519999999999999</v>
      </c>
    </row>
    <row r="61" spans="1:14" x14ac:dyDescent="0.3">
      <c r="B61">
        <f>B60*100</f>
        <v>0.10754614356363118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E45A-4EAE-4E10-8BB6-29DFB562DFF6}">
  <dimension ref="A1:N69"/>
  <sheetViews>
    <sheetView topLeftCell="A48" workbookViewId="0">
      <selection activeCell="C5" sqref="C5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3.6</v>
      </c>
    </row>
    <row r="4" spans="1:8" x14ac:dyDescent="0.3">
      <c r="B4" s="2" t="s">
        <v>2</v>
      </c>
      <c r="C4" s="3" t="s">
        <v>59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58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0.65</v>
      </c>
    </row>
    <row r="23" spans="1:2" x14ac:dyDescent="0.3">
      <c r="A23" s="4" t="s">
        <v>29</v>
      </c>
      <c r="B23" s="4">
        <v>4.2999999999999997E-2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2</v>
      </c>
    </row>
    <row r="26" spans="1:2" x14ac:dyDescent="0.3">
      <c r="A26" s="4" t="s">
        <v>24</v>
      </c>
      <c r="B26" s="4">
        <v>3.82</v>
      </c>
    </row>
    <row r="27" spans="1:2" x14ac:dyDescent="0.3">
      <c r="A27" s="4" t="s">
        <v>30</v>
      </c>
      <c r="B27" s="4">
        <v>0.79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1.62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0.4</v>
      </c>
    </row>
    <row r="32" spans="1:2" x14ac:dyDescent="0.3">
      <c r="A32" s="4" t="s">
        <v>34</v>
      </c>
      <c r="B32" s="4">
        <v>5.5E-2</v>
      </c>
    </row>
    <row r="33" spans="1:14" x14ac:dyDescent="0.3">
      <c r="A33" s="4" t="s">
        <v>35</v>
      </c>
      <c r="B33" s="4">
        <v>0.92</v>
      </c>
    </row>
    <row r="34" spans="1:14" x14ac:dyDescent="0.3">
      <c r="A34" s="4" t="s">
        <v>26</v>
      </c>
      <c r="B34" s="4">
        <v>0.13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9.7974683544303789E-2</v>
      </c>
    </row>
    <row r="39" spans="1:14" x14ac:dyDescent="0.3">
      <c r="A39" s="4" t="s">
        <v>37</v>
      </c>
      <c r="B39" s="6">
        <f>9.8*B38*(B22)^2</f>
        <v>0.40566417721518988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0.19594936708860758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3.0992743139240506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0.40566417721518988</v>
      </c>
      <c r="L45" s="6">
        <f>B38</f>
        <v>9.7974683544303789E-2</v>
      </c>
      <c r="M45" s="6">
        <v>0.28299999999999997</v>
      </c>
      <c r="N45" s="6">
        <v>1.139</v>
      </c>
    </row>
    <row r="46" spans="1:14" x14ac:dyDescent="0.3">
      <c r="A46" s="4"/>
      <c r="B46" s="6"/>
      <c r="K46" s="6">
        <f>K45+($K$59-$K$45)/14</f>
        <v>0.59806490126582279</v>
      </c>
      <c r="L46" s="6">
        <f>SQRT((($B47^2*$B48^2)-(((K46-$B44)^2)*($B48^2)))/($B47^2))+($B49)</f>
        <v>0.125213701730189</v>
      </c>
      <c r="M46" s="6">
        <v>0.27800000000000002</v>
      </c>
      <c r="N46" s="6">
        <v>1.3560000000000001</v>
      </c>
    </row>
    <row r="47" spans="1:14" x14ac:dyDescent="0.3">
      <c r="A47" s="7" t="s">
        <v>42</v>
      </c>
      <c r="B47" s="6">
        <f>SQRT((B39*B48^2*(B44-B39))/(B38*(B38-B49)))</f>
        <v>2.7369748818526762</v>
      </c>
      <c r="K47" s="6">
        <f t="shared" ref="K47:K58" si="0">K46+($K$59-$K$45)/14</f>
        <v>0.7904656253164557</v>
      </c>
      <c r="L47" s="6">
        <f>SQRT((($B47^2*$B48^2)-(((K47-$B44)^2)*($B48^2)))/($B47^2))+($B49)</f>
        <v>0.1408144756149374</v>
      </c>
      <c r="M47" s="6">
        <v>0.105</v>
      </c>
      <c r="N47" s="6">
        <v>1.3580000000000001</v>
      </c>
    </row>
    <row r="48" spans="1:14" x14ac:dyDescent="0.3">
      <c r="A48" s="7" t="s">
        <v>43</v>
      </c>
      <c r="B48" s="6">
        <f>B43-B49</f>
        <v>0.11908991706678305</v>
      </c>
      <c r="K48" s="6">
        <f t="shared" si="0"/>
        <v>0.98286634936708861</v>
      </c>
      <c r="L48" s="6">
        <f>SQRT((($B47^2*$B48^2)-(((K48-$B44)^2)*($B48^2)))/($B47^2))+($B49)</f>
        <v>0.15237228341938935</v>
      </c>
      <c r="M48" s="6">
        <v>9.9000000000000005E-2</v>
      </c>
      <c r="N48" s="6">
        <v>1.4</v>
      </c>
    </row>
    <row r="49" spans="1:14" x14ac:dyDescent="0.3">
      <c r="A49" s="7" t="s">
        <v>44</v>
      </c>
      <c r="B49" s="6">
        <f>((B43^2-(B38^2)+(B38^2/B39)*(B39-B44))/(2*(B43-B38)+((B38/B39)*(B39-B44))))</f>
        <v>7.6859450021824524E-2</v>
      </c>
      <c r="K49" s="6">
        <f t="shared" si="0"/>
        <v>1.1752670734177215</v>
      </c>
      <c r="L49" s="6">
        <f>SQRT((($B47^2*$B48^2)-(((K49-$B44)^2)*($B48^2)))/($B47^2))+($B49)</f>
        <v>0.16155869314485283</v>
      </c>
      <c r="M49" s="6">
        <v>9.4E-2</v>
      </c>
      <c r="N49" s="6">
        <v>1.45</v>
      </c>
    </row>
    <row r="50" spans="1:14" x14ac:dyDescent="0.3">
      <c r="K50" s="6">
        <f t="shared" si="0"/>
        <v>1.3676677974683544</v>
      </c>
      <c r="L50" s="6">
        <f>SQRT(((B47^2*B48^2)-(((K50-B44)^2)*(B48^2)))/(B47^2))+(B49)</f>
        <v>0.16908507895582608</v>
      </c>
      <c r="M50" s="6">
        <v>8.7999999999999995E-2</v>
      </c>
      <c r="N50" s="6">
        <v>1.506</v>
      </c>
    </row>
    <row r="51" spans="1:14" x14ac:dyDescent="0.3">
      <c r="A51" s="5" t="s">
        <v>52</v>
      </c>
      <c r="K51" s="6">
        <f t="shared" si="0"/>
        <v>1.5600685215189873</v>
      </c>
      <c r="L51" s="6">
        <f>SQRT(((B47^2*B48^2)-(((K51-B44)^2)*(B48^2)))/(B47^2))+(B49)</f>
        <v>0.17533280960553754</v>
      </c>
      <c r="M51" s="6">
        <v>0.08</v>
      </c>
      <c r="N51" s="6">
        <v>1.6</v>
      </c>
    </row>
    <row r="52" spans="1:14" x14ac:dyDescent="0.3">
      <c r="A52" s="5"/>
      <c r="K52" s="6">
        <f t="shared" si="0"/>
        <v>1.7524692455696202</v>
      </c>
      <c r="L52" s="6">
        <f>SQRT(((B47^2*B48^2)-(((K52-B44)^2)*(B48^2)))/(B47^2))+(B49)</f>
        <v>0.18053331139443454</v>
      </c>
      <c r="M52" s="6">
        <v>7.2999999999999995E-2</v>
      </c>
      <c r="N52" s="6">
        <v>1.706</v>
      </c>
    </row>
    <row r="53" spans="1:14" x14ac:dyDescent="0.3">
      <c r="A53" s="7" t="s">
        <v>53</v>
      </c>
      <c r="B53" s="4">
        <f>B32*B21*(B28/B29)*12</f>
        <v>17.599999999999998</v>
      </c>
      <c r="K53" s="6">
        <f t="shared" si="0"/>
        <v>1.9448699696202532</v>
      </c>
      <c r="L53" s="6">
        <f>SQRT(((B47^2*B48^2)-(((K53-B44)^2)*(B48^2)))/(B47^2))+(B49)</f>
        <v>0.1848380015257407</v>
      </c>
      <c r="M53" s="6">
        <v>6.5000000000000002E-2</v>
      </c>
      <c r="N53" s="6">
        <v>1.8520000000000001</v>
      </c>
    </row>
    <row r="54" spans="1:14" x14ac:dyDescent="0.3">
      <c r="A54" s="7" t="s">
        <v>46</v>
      </c>
      <c r="B54" s="4">
        <v>1.3580000000000001</v>
      </c>
      <c r="K54" s="6">
        <f t="shared" si="0"/>
        <v>2.1372706936708861</v>
      </c>
      <c r="L54" s="6">
        <f>SQRT(((B47^2*B48^2)-(((K54-B44)^2)*(B48^2)))/(B47^2))+(B49)</f>
        <v>0.18835069051466957</v>
      </c>
      <c r="M54" s="6">
        <v>5.8999999999999997E-2</v>
      </c>
      <c r="N54" s="6">
        <v>2.008</v>
      </c>
    </row>
    <row r="55" spans="1:14" x14ac:dyDescent="0.3">
      <c r="A55" s="7" t="s">
        <v>54</v>
      </c>
      <c r="B55" s="4">
        <f>(1/0.75)*(LN(B54/B53))</f>
        <v>-3.4158478305434685</v>
      </c>
      <c r="K55" s="6">
        <f t="shared" si="0"/>
        <v>2.329671417721519</v>
      </c>
      <c r="L55" s="6">
        <f>SQRT(((B47^2*B48^2)-(((K55-B44)^2)*(B48^2)))/(B47^2))+(B49)</f>
        <v>0.19114443108738607</v>
      </c>
      <c r="M55" s="6">
        <v>5.2999999999999999E-2</v>
      </c>
      <c r="N55" s="6">
        <v>2.2040000000000002</v>
      </c>
    </row>
    <row r="56" spans="1:14" x14ac:dyDescent="0.3">
      <c r="A56" s="4"/>
      <c r="B56" s="4">
        <f>_xlfn.NORM.S.DIST(B55,TRUE)</f>
        <v>3.1791883665241883E-4</v>
      </c>
      <c r="K56" s="6">
        <f t="shared" si="0"/>
        <v>2.5220721417721519</v>
      </c>
      <c r="L56" s="6">
        <f>SQRT(((B47^2*B48^2)-(((K56-B44)^2)*(B48^2)))/(B47^2))+(B49)</f>
        <v>0.19327099651293048</v>
      </c>
      <c r="M56" s="6">
        <v>4.8000000000000001E-2</v>
      </c>
      <c r="N56" s="6">
        <v>2.4020000000000001</v>
      </c>
    </row>
    <row r="57" spans="1:14" x14ac:dyDescent="0.3">
      <c r="K57" s="6">
        <f t="shared" si="0"/>
        <v>2.7144728658227848</v>
      </c>
      <c r="L57" s="6">
        <f>SQRT(((B47^2*B48^2)-(((K57-B44)^2)*(B48^2)))/(B47^2))+(B49)</f>
        <v>0.19476649173061683</v>
      </c>
      <c r="M57" s="6">
        <v>4.2999999999999997E-2</v>
      </c>
      <c r="N57" s="6">
        <v>2.6059999999999999</v>
      </c>
    </row>
    <row r="58" spans="1:14" x14ac:dyDescent="0.3">
      <c r="A58" s="5" t="s">
        <v>55</v>
      </c>
      <c r="K58" s="6">
        <f t="shared" si="0"/>
        <v>2.9068735898734177</v>
      </c>
      <c r="L58" s="6">
        <f>SQRT(((B47^2*B48^2)-(((K58-B44)^2)*(B48^2)))/(B47^2))+(B49)</f>
        <v>0.19565475245992464</v>
      </c>
      <c r="M58" s="6">
        <v>0.04</v>
      </c>
      <c r="N58" s="6">
        <v>2.8</v>
      </c>
    </row>
    <row r="59" spans="1:14" x14ac:dyDescent="0.3">
      <c r="K59" s="6">
        <f>B44</f>
        <v>3.0992743139240506</v>
      </c>
      <c r="L59" s="6">
        <f>SQRT(((B47^2*B48^2)-(((K59-B44)^2)*(B48^2)))/(B47^2))+(B49)</f>
        <v>0.19594936708860758</v>
      </c>
      <c r="M59" s="6">
        <v>3.6999999999999998E-2</v>
      </c>
      <c r="N59" s="6">
        <v>3.0009999999999999</v>
      </c>
    </row>
    <row r="60" spans="1:14" x14ac:dyDescent="0.3">
      <c r="A60" s="4" t="s">
        <v>56</v>
      </c>
      <c r="B60" s="4">
        <f>B34*B56</f>
        <v>4.132944876481445E-5</v>
      </c>
      <c r="K60" s="6">
        <f>K59*1.5</f>
        <v>4.6489114708860759</v>
      </c>
      <c r="L60" s="6">
        <f>L59</f>
        <v>0.19594936708860758</v>
      </c>
      <c r="M60" s="6">
        <v>3.4000000000000002E-2</v>
      </c>
      <c r="N60" s="6">
        <v>3.5270000000000001</v>
      </c>
    </row>
    <row r="61" spans="1:14" x14ac:dyDescent="0.3">
      <c r="A61" s="4"/>
      <c r="B61" s="4">
        <f>B60*100</f>
        <v>4.1329448764814451E-3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03D5-B246-4599-837A-CBFE45D4E381}">
  <dimension ref="A1:N69"/>
  <sheetViews>
    <sheetView topLeftCell="A41" workbookViewId="0">
      <selection activeCell="P42" sqref="P42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3.6</v>
      </c>
    </row>
    <row r="4" spans="1:8" x14ac:dyDescent="0.3">
      <c r="B4" s="2" t="s">
        <v>2</v>
      </c>
      <c r="C4" s="3" t="s">
        <v>7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19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0.89</v>
      </c>
    </row>
    <row r="23" spans="1:2" x14ac:dyDescent="0.3">
      <c r="A23" s="4" t="s">
        <v>29</v>
      </c>
      <c r="B23" s="4">
        <v>2.9000000000000001E-2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1.5</v>
      </c>
    </row>
    <row r="26" spans="1:2" x14ac:dyDescent="0.3">
      <c r="A26" s="4" t="s">
        <v>24</v>
      </c>
      <c r="B26" s="4">
        <v>3.82</v>
      </c>
    </row>
    <row r="27" spans="1:2" x14ac:dyDescent="0.3">
      <c r="A27" s="4" t="s">
        <v>30</v>
      </c>
      <c r="B27" s="4">
        <v>0.73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1.62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0.4</v>
      </c>
    </row>
    <row r="32" spans="1:2" x14ac:dyDescent="0.3">
      <c r="A32" s="4" t="s">
        <v>34</v>
      </c>
      <c r="B32" s="4">
        <v>3.5000000000000003E-2</v>
      </c>
    </row>
    <row r="33" spans="1:14" x14ac:dyDescent="0.3">
      <c r="A33" s="4" t="s">
        <v>35</v>
      </c>
      <c r="B33" s="4">
        <v>0.97</v>
      </c>
    </row>
    <row r="34" spans="1:14" x14ac:dyDescent="0.3">
      <c r="A34" s="4" t="s">
        <v>26</v>
      </c>
      <c r="B34" s="4">
        <v>0.13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7.1506849315068496E-2</v>
      </c>
    </row>
    <row r="39" spans="1:14" x14ac:dyDescent="0.3">
      <c r="A39" s="4" t="s">
        <v>37</v>
      </c>
      <c r="B39" s="6">
        <f>9.8*B38*(B22)^2</f>
        <v>0.55507763835616453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0.10726027397260274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3.1805948677808225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0.55507763835616453</v>
      </c>
      <c r="L45" s="6">
        <f>B38</f>
        <v>7.1506849315068496E-2</v>
      </c>
      <c r="M45" s="6">
        <v>0.20699999999999999</v>
      </c>
      <c r="N45" s="6">
        <v>1.159</v>
      </c>
    </row>
    <row r="46" spans="1:14" x14ac:dyDescent="0.3">
      <c r="A46" s="4"/>
      <c r="B46" s="6"/>
      <c r="K46" s="6">
        <f>K45+($K$59-$K$45)/14</f>
        <v>0.74261458331506869</v>
      </c>
      <c r="L46" s="6">
        <f>SQRT((($B47^2*$B48^2)-(((K46-$B44)^2)*($B48^2)))/($B47^2))+($B49)</f>
        <v>8.240725913764177E-2</v>
      </c>
      <c r="M46" s="6">
        <v>0.20300000000000001</v>
      </c>
      <c r="N46" s="6">
        <v>1.8560000000000001</v>
      </c>
    </row>
    <row r="47" spans="1:14" x14ac:dyDescent="0.3">
      <c r="A47" s="7" t="s">
        <v>42</v>
      </c>
      <c r="B47" s="6">
        <f>SQRT((B39*B48^2*(B44-B39))/(B38*(B38-B49)))</f>
        <v>2.6440535928462214</v>
      </c>
      <c r="K47" s="6">
        <f t="shared" ref="K47:K58" si="0">K46+($K$59-$K$45)/14</f>
        <v>0.93015152827397285</v>
      </c>
      <c r="L47" s="6">
        <f>SQRT((($B47^2*$B48^2)-(((K47-$B44)^2)*($B48^2)))/($B47^2))+($B49)</f>
        <v>8.799879778328959E-2</v>
      </c>
      <c r="M47" s="6">
        <v>7.6999999999999999E-2</v>
      </c>
      <c r="N47" s="6">
        <v>1.8560000000000001</v>
      </c>
    </row>
    <row r="48" spans="1:14" x14ac:dyDescent="0.3">
      <c r="A48" s="7" t="s">
        <v>43</v>
      </c>
      <c r="B48" s="6">
        <f>B43-B49</f>
        <v>4.0546108927981203E-2</v>
      </c>
      <c r="K48" s="6">
        <f t="shared" si="0"/>
        <v>1.1176884732328769</v>
      </c>
      <c r="L48" s="6">
        <f>SQRT((($B47^2*$B48^2)-(((K48-$B44)^2)*($B48^2)))/($B47^2))+($B49)</f>
        <v>9.2076676520005146E-2</v>
      </c>
      <c r="M48" s="6">
        <v>7.3999999999999996E-2</v>
      </c>
      <c r="N48" s="6">
        <v>1.9019999999999999</v>
      </c>
    </row>
    <row r="49" spans="1:14" x14ac:dyDescent="0.3">
      <c r="A49" s="7" t="s">
        <v>44</v>
      </c>
      <c r="B49" s="6">
        <f>((B43^2-(B38^2)+(B38^2/B39)*(B39-B44))/(2*(B43-B38)+((B38/B39)*(B39-B44))))</f>
        <v>6.6714165044621535E-2</v>
      </c>
      <c r="K49" s="6">
        <f t="shared" si="0"/>
        <v>1.3052254181917811</v>
      </c>
      <c r="L49" s="6">
        <f>SQRT((($B47^2*$B48^2)-(((K49-$B44)^2)*($B48^2)))/($B47^2))+($B49)</f>
        <v>9.5296281739669572E-2</v>
      </c>
      <c r="M49" s="6">
        <v>7.0000000000000007E-2</v>
      </c>
      <c r="N49" s="6">
        <v>1.9510000000000001</v>
      </c>
    </row>
    <row r="50" spans="1:14" x14ac:dyDescent="0.3">
      <c r="K50" s="6">
        <f t="shared" si="0"/>
        <v>1.4927623631506852</v>
      </c>
      <c r="L50" s="6">
        <f>SQRT(((B47^2*B48^2)-(((K50-B44)^2)*(B48^2)))/(B47^2))+(B49)</f>
        <v>9.7924368666371817E-2</v>
      </c>
      <c r="M50" s="6">
        <v>6.7000000000000004E-2</v>
      </c>
      <c r="N50" s="6">
        <v>2.0009999999999999</v>
      </c>
    </row>
    <row r="51" spans="1:14" x14ac:dyDescent="0.3">
      <c r="A51" s="5" t="s">
        <v>52</v>
      </c>
      <c r="K51" s="6">
        <f t="shared" si="0"/>
        <v>1.6802993081095894</v>
      </c>
      <c r="L51" s="6">
        <f>SQRT(((B47^2*B48^2)-(((K51-B44)^2)*(B48^2)))/(B47^2))+(B49)</f>
        <v>0.10010091742283703</v>
      </c>
      <c r="M51" s="6">
        <v>6.5000000000000002E-2</v>
      </c>
      <c r="N51" s="6">
        <v>2.0550000000000002</v>
      </c>
    </row>
    <row r="52" spans="1:14" x14ac:dyDescent="0.3">
      <c r="A52" s="5"/>
      <c r="K52" s="6">
        <f t="shared" si="0"/>
        <v>1.8678362530684935</v>
      </c>
      <c r="L52" s="6">
        <f>SQRT(((B47^2*B48^2)-(((K52-B44)^2)*(B48^2)))/(B47^2))+(B49)</f>
        <v>0.10190979925582497</v>
      </c>
      <c r="M52" s="6">
        <v>6.2E-2</v>
      </c>
      <c r="N52" s="6">
        <v>2.1030000000000002</v>
      </c>
    </row>
    <row r="53" spans="1:14" x14ac:dyDescent="0.3">
      <c r="A53" s="7" t="s">
        <v>53</v>
      </c>
      <c r="B53" s="4">
        <f>B32*B21*(B28/B29)*12</f>
        <v>11.2</v>
      </c>
      <c r="K53" s="6">
        <f t="shared" si="0"/>
        <v>2.0553731980273975</v>
      </c>
      <c r="L53" s="6">
        <f>SQRT(((B47^2*B48^2)-(((K53-B44)^2)*(B48^2)))/(B47^2))+(B49)</f>
        <v>0.10340543252892606</v>
      </c>
      <c r="M53" s="6">
        <v>5.8000000000000003E-2</v>
      </c>
      <c r="N53" s="6">
        <v>2.202</v>
      </c>
    </row>
    <row r="54" spans="1:14" x14ac:dyDescent="0.3">
      <c r="A54" s="7" t="s">
        <v>46</v>
      </c>
      <c r="B54" s="4">
        <v>1.8560000000000001</v>
      </c>
      <c r="K54" s="6">
        <f t="shared" si="0"/>
        <v>2.2429101429863016</v>
      </c>
      <c r="L54" s="6">
        <f>SQRT(((B47^2*B48^2)-(((K54-B44)^2)*(B48^2)))/(B47^2))+(B49)</f>
        <v>0.10462490970351901</v>
      </c>
      <c r="M54" s="6">
        <v>5.3999999999999999E-2</v>
      </c>
      <c r="N54" s="6">
        <v>2.302</v>
      </c>
    </row>
    <row r="55" spans="1:14" x14ac:dyDescent="0.3">
      <c r="A55" s="7" t="s">
        <v>54</v>
      </c>
      <c r="B55" s="4">
        <f>(1/0.75)*(LN(B54/B53))</f>
        <v>-2.3966535252493864</v>
      </c>
      <c r="K55" s="6">
        <f t="shared" si="0"/>
        <v>2.4304470879452058</v>
      </c>
      <c r="L55" s="6">
        <f>SQRT(((B47^2*B48^2)-(((K55-B44)^2)*(B48^2)))/(B47^2))+(B49)</f>
        <v>0.10559422446446884</v>
      </c>
      <c r="M55" s="6">
        <v>5.0999999999999997E-2</v>
      </c>
      <c r="N55" s="6">
        <v>2.403</v>
      </c>
    </row>
    <row r="56" spans="1:14" ht="18" x14ac:dyDescent="0.35">
      <c r="A56" s="4"/>
      <c r="B56" s="4">
        <f>_xlfn.NORM.S.DIST(B55,TRUE)</f>
        <v>8.2727802741254745E-3</v>
      </c>
      <c r="D56" s="8"/>
      <c r="K56" s="6">
        <f t="shared" si="0"/>
        <v>2.61798403290411</v>
      </c>
      <c r="L56" s="6">
        <f>SQRT(((B47^2*B48^2)-(((K56-B44)^2)*(B48^2)))/(B47^2))+(B49)</f>
        <v>0.10633174307888535</v>
      </c>
      <c r="M56" s="6">
        <v>4.5999999999999999E-2</v>
      </c>
      <c r="N56" s="6">
        <v>2.601</v>
      </c>
    </row>
    <row r="57" spans="1:14" x14ac:dyDescent="0.3">
      <c r="K57" s="6">
        <f t="shared" si="0"/>
        <v>2.8055209778630141</v>
      </c>
      <c r="L57" s="6">
        <f>SQRT(((B47^2*B48^2)-(((K57-B44)^2)*(B48^2)))/(B47^2))+(B49)</f>
        <v>0.10685024565823528</v>
      </c>
      <c r="M57" s="6">
        <v>4.2000000000000003E-2</v>
      </c>
      <c r="N57" s="6">
        <v>2.8010000000000002</v>
      </c>
    </row>
    <row r="58" spans="1:14" x14ac:dyDescent="0.3">
      <c r="A58" s="5" t="s">
        <v>55</v>
      </c>
      <c r="K58" s="6">
        <f t="shared" si="0"/>
        <v>2.9930579228219183</v>
      </c>
      <c r="L58" s="6">
        <f>SQRT(((B47^2*B48^2)-(((K58-B44)^2)*(B48^2)))/(B47^2))+(B49)</f>
        <v>0.10715815660894927</v>
      </c>
      <c r="M58" s="6">
        <v>3.9E-2</v>
      </c>
      <c r="N58" s="6">
        <v>3.0030000000000001</v>
      </c>
    </row>
    <row r="59" spans="1:14" x14ac:dyDescent="0.3">
      <c r="K59" s="6">
        <f>B44</f>
        <v>3.1805948677808225</v>
      </c>
      <c r="L59" s="6">
        <f>SQRT(((B47^2*B48^2)-(((K59-B44)^2)*(B48^2)))/(B47^2))+(B49)</f>
        <v>0.10726027397260274</v>
      </c>
      <c r="M59" s="6">
        <v>3.5999999999999997E-2</v>
      </c>
      <c r="N59" s="6">
        <v>3.202</v>
      </c>
    </row>
    <row r="60" spans="1:14" x14ac:dyDescent="0.3">
      <c r="A60" t="s">
        <v>56</v>
      </c>
      <c r="B60">
        <f>B34*B56</f>
        <v>1.0754614356363117E-3</v>
      </c>
      <c r="K60" s="6">
        <f>K59*1.5</f>
        <v>4.7708923016712337</v>
      </c>
      <c r="L60" s="6">
        <f>L59</f>
        <v>0.10726027397260274</v>
      </c>
      <c r="M60" s="6">
        <v>3.4000000000000002E-2</v>
      </c>
      <c r="N60" s="6">
        <v>3.3519999999999999</v>
      </c>
    </row>
    <row r="61" spans="1:14" x14ac:dyDescent="0.3">
      <c r="B61">
        <f>B60*100</f>
        <v>0.10754614356363118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59EC-57AD-4DA1-A896-33D1476EB30F}">
  <dimension ref="A1:N69"/>
  <sheetViews>
    <sheetView topLeftCell="A37" zoomScaleNormal="100" workbookViewId="0">
      <selection activeCell="C57" sqref="C57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3.6</v>
      </c>
    </row>
    <row r="4" spans="1:8" x14ac:dyDescent="0.3">
      <c r="B4" s="2" t="s">
        <v>2</v>
      </c>
      <c r="C4" s="3" t="s">
        <v>7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58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0.65</v>
      </c>
    </row>
    <row r="23" spans="1:2" x14ac:dyDescent="0.3">
      <c r="A23" s="4" t="s">
        <v>29</v>
      </c>
      <c r="B23" s="4">
        <v>2.9000000000000001E-2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1.5</v>
      </c>
    </row>
    <row r="26" spans="1:2" x14ac:dyDescent="0.3">
      <c r="A26" s="4" t="s">
        <v>24</v>
      </c>
      <c r="B26" s="4">
        <v>3.82</v>
      </c>
    </row>
    <row r="27" spans="1:2" x14ac:dyDescent="0.3">
      <c r="A27" s="4" t="s">
        <v>30</v>
      </c>
      <c r="B27" s="4">
        <v>0.79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1.62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0.4</v>
      </c>
    </row>
    <row r="32" spans="1:2" x14ac:dyDescent="0.3">
      <c r="A32" s="4" t="s">
        <v>34</v>
      </c>
      <c r="B32" s="4">
        <v>0.05</v>
      </c>
    </row>
    <row r="33" spans="1:14" x14ac:dyDescent="0.3">
      <c r="A33" s="4" t="s">
        <v>35</v>
      </c>
      <c r="B33" s="4">
        <v>0.97</v>
      </c>
    </row>
    <row r="34" spans="1:14" x14ac:dyDescent="0.3">
      <c r="A34" s="4" t="s">
        <v>26</v>
      </c>
      <c r="B34" s="4">
        <v>0.13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6.6075949367088604E-2</v>
      </c>
    </row>
    <row r="39" spans="1:14" x14ac:dyDescent="0.3">
      <c r="A39" s="4" t="s">
        <v>37</v>
      </c>
      <c r="B39" s="6">
        <f>9.8*B38*(B22)^2</f>
        <v>0.27358746835443043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9.9113924050632907E-2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1.5676561936708862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0.27358746835443043</v>
      </c>
      <c r="L45" s="6">
        <f>B38</f>
        <v>6.6075949367088604E-2</v>
      </c>
      <c r="M45" s="6">
        <v>0.28299999999999997</v>
      </c>
      <c r="N45" s="6">
        <v>1.139</v>
      </c>
    </row>
    <row r="46" spans="1:14" x14ac:dyDescent="0.3">
      <c r="A46" s="4"/>
      <c r="B46" s="6"/>
      <c r="K46" s="6">
        <f>K45+($K$59-$K$45)/14</f>
        <v>0.36602094873417729</v>
      </c>
      <c r="L46" s="6">
        <f>SQRT((($B47^2*$B48^2)-(((K46-$B44)^2)*($B48^2)))/($B47^2))+($B49)</f>
        <v>7.6148479962631216E-2</v>
      </c>
      <c r="M46" s="6">
        <v>0.27800000000000002</v>
      </c>
      <c r="N46" s="6">
        <v>1.3560000000000001</v>
      </c>
    </row>
    <row r="47" spans="1:14" x14ac:dyDescent="0.3">
      <c r="A47" s="7" t="s">
        <v>42</v>
      </c>
      <c r="B47" s="6">
        <f>SQRT((B39*B48^2*(B44-B39))/(B38*(B38-B49)))</f>
        <v>1.3032049549005251</v>
      </c>
      <c r="K47" s="6">
        <f t="shared" ref="K47:K58" si="0">K46+($K$59-$K$45)/14</f>
        <v>0.45845442911392414</v>
      </c>
      <c r="L47" s="6">
        <f>SQRT((($B47^2*$B48^2)-(((K47-$B44)^2)*($B48^2)))/($B47^2))+($B49)</f>
        <v>8.1315344787090515E-2</v>
      </c>
      <c r="M47" s="6">
        <v>0.105</v>
      </c>
      <c r="N47" s="6">
        <v>1.3580000000000001</v>
      </c>
    </row>
    <row r="48" spans="1:14" x14ac:dyDescent="0.3">
      <c r="A48" s="7" t="s">
        <v>43</v>
      </c>
      <c r="B48" s="6">
        <f>B43-B49</f>
        <v>3.7466657616995268E-2</v>
      </c>
      <c r="K48" s="6">
        <f t="shared" si="0"/>
        <v>0.55088790949367095</v>
      </c>
      <c r="L48" s="6">
        <f>SQRT((($B47^2*$B48^2)-(((K48-$B44)^2)*($B48^2)))/($B47^2))+($B49)</f>
        <v>8.5083511214688406E-2</v>
      </c>
      <c r="M48" s="6">
        <v>9.9000000000000005E-2</v>
      </c>
      <c r="N48" s="6">
        <v>1.4</v>
      </c>
    </row>
    <row r="49" spans="1:14" x14ac:dyDescent="0.3">
      <c r="A49" s="7" t="s">
        <v>44</v>
      </c>
      <c r="B49" s="6">
        <f>((B43^2-(B38^2)+(B38^2/B39)*(B39-B44))/(2*(B43-B38)+((B38/B39)*(B39-B44))))</f>
        <v>6.1647266433637639E-2</v>
      </c>
      <c r="K49" s="6">
        <f t="shared" si="0"/>
        <v>0.6433213898734178</v>
      </c>
      <c r="L49" s="6">
        <f>SQRT((($B47^2*$B48^2)-(((K49-$B44)^2)*($B48^2)))/($B47^2))+($B49)</f>
        <v>8.8058589455644112E-2</v>
      </c>
      <c r="M49" s="6">
        <v>9.4E-2</v>
      </c>
      <c r="N49" s="6">
        <v>1.45</v>
      </c>
    </row>
    <row r="50" spans="1:14" x14ac:dyDescent="0.3">
      <c r="K50" s="6">
        <f t="shared" si="0"/>
        <v>0.73575487025316466</v>
      </c>
      <c r="L50" s="6">
        <f>SQRT(((B47^2*B48^2)-(((K50-B44)^2)*(B48^2)))/(B47^2))+(B49)</f>
        <v>9.0487074843609461E-2</v>
      </c>
      <c r="M50" s="6">
        <v>8.7999999999999995E-2</v>
      </c>
      <c r="N50" s="6">
        <v>1.506</v>
      </c>
    </row>
    <row r="51" spans="1:14" x14ac:dyDescent="0.3">
      <c r="A51" s="5" t="s">
        <v>52</v>
      </c>
      <c r="K51" s="6">
        <f t="shared" si="0"/>
        <v>0.82818835063291152</v>
      </c>
      <c r="L51" s="6">
        <f>SQRT(((B47^2*B48^2)-(((K51-B44)^2)*(B48^2)))/(B47^2))+(B49)</f>
        <v>9.249831609958363E-2</v>
      </c>
      <c r="M51" s="6">
        <v>0.08</v>
      </c>
      <c r="N51" s="6">
        <v>1.6</v>
      </c>
    </row>
    <row r="52" spans="1:14" x14ac:dyDescent="0.3">
      <c r="A52" s="5"/>
      <c r="K52" s="6">
        <f t="shared" si="0"/>
        <v>0.92062183101265838</v>
      </c>
      <c r="L52" s="6">
        <f>SQRT(((B47^2*B48^2)-(((K52-B44)^2)*(B48^2)))/(B47^2))+(B49)</f>
        <v>9.4169814502218036E-2</v>
      </c>
      <c r="M52" s="6">
        <v>7.2999999999999995E-2</v>
      </c>
      <c r="N52" s="6">
        <v>1.706</v>
      </c>
    </row>
    <row r="53" spans="1:14" x14ac:dyDescent="0.3">
      <c r="A53" s="7" t="s">
        <v>53</v>
      </c>
      <c r="B53" s="4">
        <f>B32*B21*(B28/B29)*12</f>
        <v>16</v>
      </c>
      <c r="K53" s="6">
        <f t="shared" si="0"/>
        <v>1.0130553113924052</v>
      </c>
      <c r="L53" s="6">
        <f>SQRT(((B47^2*B48^2)-(((K53-B44)^2)*(B48^2)))/(B47^2))+(B49)</f>
        <v>9.5551855374830436E-2</v>
      </c>
      <c r="M53" s="6">
        <v>6.5000000000000002E-2</v>
      </c>
      <c r="N53" s="6">
        <v>1.8520000000000001</v>
      </c>
    </row>
    <row r="54" spans="1:14" x14ac:dyDescent="0.3">
      <c r="A54" s="7" t="s">
        <v>46</v>
      </c>
      <c r="B54" s="4">
        <v>1.3580000000000001</v>
      </c>
      <c r="K54" s="6">
        <f t="shared" si="0"/>
        <v>1.1054887917721521</v>
      </c>
      <c r="L54" s="6">
        <f>SQRT(((B47^2*B48^2)-(((K54-B44)^2)*(B48^2)))/(B47^2))+(B49)</f>
        <v>9.6678714029834037E-2</v>
      </c>
      <c r="M54" s="6">
        <v>5.8999999999999997E-2</v>
      </c>
      <c r="N54" s="6">
        <v>2.008</v>
      </c>
    </row>
    <row r="55" spans="1:14" x14ac:dyDescent="0.3">
      <c r="A55" s="7" t="s">
        <v>54</v>
      </c>
      <c r="B55" s="4">
        <f>(1/0.75)*(LN(B54/B53))</f>
        <v>-3.288767590804369</v>
      </c>
      <c r="K55" s="6">
        <f t="shared" si="0"/>
        <v>1.1979222721518989</v>
      </c>
      <c r="L55" s="6">
        <f>SQRT(((B47^2*B48^2)-(((K55-B44)^2)*(B48^2)))/(B47^2))+(B49)</f>
        <v>9.7574409948180077E-2</v>
      </c>
      <c r="M55" s="6">
        <v>5.2999999999999999E-2</v>
      </c>
      <c r="N55" s="6">
        <v>2.2040000000000002</v>
      </c>
    </row>
    <row r="56" spans="1:14" x14ac:dyDescent="0.3">
      <c r="A56" s="4"/>
      <c r="B56" s="4">
        <f>_xlfn.NORM.S.DIST(B55,TRUE)</f>
        <v>5.0313539208695474E-4</v>
      </c>
      <c r="K56" s="6">
        <f t="shared" si="0"/>
        <v>1.2903557525316458</v>
      </c>
      <c r="L56" s="6">
        <f>SQRT(((B47^2*B48^2)-(((K56-B44)^2)*(B48^2)))/(B47^2))+(B49)</f>
        <v>9.825591449061559E-2</v>
      </c>
      <c r="M56" s="6">
        <v>4.8000000000000001E-2</v>
      </c>
      <c r="N56" s="6">
        <v>2.4020000000000001</v>
      </c>
    </row>
    <row r="57" spans="1:14" x14ac:dyDescent="0.3">
      <c r="K57" s="6">
        <f t="shared" si="0"/>
        <v>1.3827892329113927</v>
      </c>
      <c r="L57" s="6">
        <f>SQRT(((B47^2*B48^2)-(((K57-B44)^2)*(B48^2)))/(B47^2))+(B49)</f>
        <v>9.8735037127230085E-2</v>
      </c>
      <c r="M57" s="6">
        <v>4.2999999999999997E-2</v>
      </c>
      <c r="N57" s="6">
        <v>2.6059999999999999</v>
      </c>
    </row>
    <row r="58" spans="1:14" x14ac:dyDescent="0.3">
      <c r="A58" s="5" t="s">
        <v>55</v>
      </c>
      <c r="K58" s="6">
        <f t="shared" si="0"/>
        <v>1.4752227132911395</v>
      </c>
      <c r="L58" s="6">
        <f>SQRT(((B47^2*B48^2)-(((K58-B44)^2)*(B48^2)))/(B47^2))+(B49)</f>
        <v>9.9019562436117675E-2</v>
      </c>
      <c r="M58" s="6">
        <v>0.04</v>
      </c>
      <c r="N58" s="6">
        <v>2.8</v>
      </c>
    </row>
    <row r="59" spans="1:14" x14ac:dyDescent="0.3">
      <c r="K59" s="6">
        <f>B44</f>
        <v>1.5676561936708862</v>
      </c>
      <c r="L59" s="6">
        <f>SQRT(((B47^2*B48^2)-(((K59-B44)^2)*(B48^2)))/(B47^2))+(B49)</f>
        <v>9.9113924050632907E-2</v>
      </c>
      <c r="M59" s="6">
        <v>3.6999999999999998E-2</v>
      </c>
      <c r="N59" s="6">
        <v>3.0009999999999999</v>
      </c>
    </row>
    <row r="60" spans="1:14" x14ac:dyDescent="0.3">
      <c r="A60" s="4" t="s">
        <v>56</v>
      </c>
      <c r="B60" s="4">
        <f>B34*B56</f>
        <v>6.5407600971304113E-5</v>
      </c>
      <c r="K60" s="6">
        <f>K59*1.5</f>
        <v>2.3514842905063293</v>
      </c>
      <c r="L60" s="6">
        <f>L59</f>
        <v>9.9113924050632907E-2</v>
      </c>
      <c r="M60" s="6">
        <v>3.4000000000000002E-2</v>
      </c>
      <c r="N60" s="6">
        <v>3.5270000000000001</v>
      </c>
    </row>
    <row r="61" spans="1:14" x14ac:dyDescent="0.3">
      <c r="A61" s="4"/>
      <c r="B61" s="7">
        <f>B60*100</f>
        <v>6.540760097130411E-3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44F5-079C-4396-98BC-CA5ADC8BE661}">
  <dimension ref="A1:N69"/>
  <sheetViews>
    <sheetView zoomScaleNormal="100" workbookViewId="0">
      <selection activeCell="G55" sqref="G55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3.6</v>
      </c>
    </row>
    <row r="4" spans="1:8" x14ac:dyDescent="0.3">
      <c r="B4" s="2" t="s">
        <v>2</v>
      </c>
      <c r="C4" s="3" t="s">
        <v>7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19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0.89</v>
      </c>
    </row>
    <row r="23" spans="1:2" x14ac:dyDescent="0.3">
      <c r="A23" s="4" t="s">
        <v>29</v>
      </c>
      <c r="B23" s="4">
        <v>0.107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2</v>
      </c>
    </row>
    <row r="26" spans="1:2" x14ac:dyDescent="0.3">
      <c r="A26" s="4" t="s">
        <v>24</v>
      </c>
      <c r="B26" s="4">
        <v>5.08</v>
      </c>
    </row>
    <row r="27" spans="1:2" x14ac:dyDescent="0.3">
      <c r="A27" s="4" t="s">
        <v>30</v>
      </c>
      <c r="B27" s="4">
        <v>0.73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1.62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0.6</v>
      </c>
    </row>
    <row r="32" spans="1:2" x14ac:dyDescent="0.3">
      <c r="A32" s="4" t="s">
        <v>34</v>
      </c>
      <c r="B32" s="4">
        <v>8.3000000000000004E-2</v>
      </c>
    </row>
    <row r="33" spans="1:14" x14ac:dyDescent="0.3">
      <c r="A33" s="4" t="s">
        <v>35</v>
      </c>
      <c r="B33" s="4">
        <v>0.82</v>
      </c>
    </row>
    <row r="34" spans="1:14" x14ac:dyDescent="0.3">
      <c r="A34" s="4" t="s">
        <v>26</v>
      </c>
      <c r="B34" s="4">
        <v>0.13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0.26383561643835618</v>
      </c>
    </row>
    <row r="39" spans="1:14" x14ac:dyDescent="0.3">
      <c r="A39" s="4" t="s">
        <v>37</v>
      </c>
      <c r="B39" s="6">
        <f>9.8*B38*(B22)^2</f>
        <v>2.0480450794520553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0.52767123287671236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20.808138007232881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2.0480450794520553</v>
      </c>
      <c r="L45" s="6">
        <f>B38</f>
        <v>0.26383561643835618</v>
      </c>
      <c r="M45" s="6">
        <v>0.20699999999999999</v>
      </c>
      <c r="N45" s="6">
        <v>1.159</v>
      </c>
    </row>
    <row r="46" spans="1:14" x14ac:dyDescent="0.3">
      <c r="A46" s="4"/>
      <c r="B46" s="6"/>
      <c r="K46" s="6">
        <f>K45+($K$59-$K$45)/14</f>
        <v>3.3880517171506854</v>
      </c>
      <c r="L46" s="6">
        <f>SQRT((($B47^2*$B48^2)-(((K46-$B44)^2)*($B48^2)))/($B47^2))+($B49)</f>
        <v>0.34371470557991352</v>
      </c>
      <c r="M46" s="6">
        <v>0.20300000000000001</v>
      </c>
      <c r="N46" s="6">
        <v>1.8560000000000001</v>
      </c>
    </row>
    <row r="47" spans="1:14" x14ac:dyDescent="0.3">
      <c r="A47" s="7" t="s">
        <v>42</v>
      </c>
      <c r="B47" s="6">
        <f>SQRT((B39*B48^2*(B44-B39))/(B38*(B38-B49)))</f>
        <v>18.902571787458811</v>
      </c>
      <c r="K47" s="6">
        <f t="shared" ref="K47:K58" si="0">K46+($K$59-$K$45)/14</f>
        <v>4.728058354849316</v>
      </c>
      <c r="L47" s="6">
        <f>SQRT((($B47^2*$B48^2)-(((K47-$B44)^2)*($B48^2)))/($B47^2))+($B49)</f>
        <v>0.38505085796117722</v>
      </c>
      <c r="M47" s="6">
        <v>7.6999999999999999E-2</v>
      </c>
      <c r="N47" s="6">
        <v>1.8560000000000001</v>
      </c>
    </row>
    <row r="48" spans="1:14" x14ac:dyDescent="0.3">
      <c r="A48" s="7" t="s">
        <v>43</v>
      </c>
      <c r="B48" s="6">
        <f>B43-B49</f>
        <v>0.30068416622024957</v>
      </c>
      <c r="K48" s="6">
        <f t="shared" si="0"/>
        <v>6.0680649925479466</v>
      </c>
      <c r="L48" s="6">
        <f>SQRT((($B47^2*$B48^2)-(((K48-$B44)^2)*($B48^2)))/($B47^2))+($B49)</f>
        <v>0.41522701172646903</v>
      </c>
      <c r="M48" s="6">
        <v>7.3999999999999996E-2</v>
      </c>
      <c r="N48" s="6">
        <v>1.9019999999999999</v>
      </c>
    </row>
    <row r="49" spans="1:14" x14ac:dyDescent="0.3">
      <c r="A49" s="7" t="s">
        <v>44</v>
      </c>
      <c r="B49" s="6">
        <f>((B43^2-(B38^2)+(B38^2/B39)*(B39-B44))/(2*(B43-B38)+((B38/B39)*(B39-B44))))</f>
        <v>0.22698706665646279</v>
      </c>
      <c r="K49" s="6">
        <f t="shared" si="0"/>
        <v>7.4080716302465772</v>
      </c>
      <c r="L49" s="6">
        <f>SQRT((($B47^2*$B48^2)-(((K49-$B44)^2)*($B48^2)))/($B47^2))+($B49)</f>
        <v>0.43906178481885827</v>
      </c>
      <c r="M49" s="6">
        <v>7.0000000000000007E-2</v>
      </c>
      <c r="N49" s="6">
        <v>1.9510000000000001</v>
      </c>
    </row>
    <row r="50" spans="1:14" x14ac:dyDescent="0.3">
      <c r="K50" s="6">
        <f t="shared" si="0"/>
        <v>8.7480782679452069</v>
      </c>
      <c r="L50" s="6">
        <f>SQRT(((B47^2*B48^2)-(((K50-B44)^2)*(B48^2)))/(B47^2))+(B49)</f>
        <v>0.4585219228071552</v>
      </c>
      <c r="M50" s="6">
        <v>6.7000000000000004E-2</v>
      </c>
      <c r="N50" s="6">
        <v>2.0009999999999999</v>
      </c>
    </row>
    <row r="51" spans="1:14" x14ac:dyDescent="0.3">
      <c r="A51" s="5" t="s">
        <v>52</v>
      </c>
      <c r="K51" s="6">
        <f t="shared" si="0"/>
        <v>10.088084905643838</v>
      </c>
      <c r="L51" s="6">
        <f>SQRT(((B47^2*B48^2)-(((K51-B44)^2)*(B48^2)))/(B47^2))+(B49)</f>
        <v>0.4746408320369756</v>
      </c>
      <c r="M51" s="6">
        <v>6.5000000000000002E-2</v>
      </c>
      <c r="N51" s="6">
        <v>2.0550000000000002</v>
      </c>
    </row>
    <row r="52" spans="1:14" x14ac:dyDescent="0.3">
      <c r="A52" s="5"/>
      <c r="K52" s="6">
        <f t="shared" si="0"/>
        <v>11.428091543342468</v>
      </c>
      <c r="L52" s="6">
        <f>SQRT(((B47^2*B48^2)-(((K52-B44)^2)*(B48^2)))/(B47^2))+(B49)</f>
        <v>0.48803817231765728</v>
      </c>
      <c r="M52" s="6">
        <v>6.2E-2</v>
      </c>
      <c r="N52" s="6">
        <v>2.1030000000000002</v>
      </c>
    </row>
    <row r="53" spans="1:14" x14ac:dyDescent="0.3">
      <c r="A53" s="7" t="s">
        <v>53</v>
      </c>
      <c r="B53" s="4">
        <f>B32*B21*(B28/B29)*12</f>
        <v>26.560000000000002</v>
      </c>
      <c r="K53" s="6">
        <f t="shared" si="0"/>
        <v>12.768098181041099</v>
      </c>
      <c r="L53" s="6">
        <f>SQRT(((B47^2*B48^2)-(((K53-B44)^2)*(B48^2)))/(B47^2))+(B49)</f>
        <v>0.49911620216400099</v>
      </c>
      <c r="M53" s="6">
        <v>5.8000000000000003E-2</v>
      </c>
      <c r="N53" s="6">
        <v>2.202</v>
      </c>
    </row>
    <row r="54" spans="1:14" x14ac:dyDescent="0.3">
      <c r="A54" s="7" t="s">
        <v>46</v>
      </c>
      <c r="B54" s="4">
        <v>1.8</v>
      </c>
      <c r="K54" s="6">
        <f t="shared" si="0"/>
        <v>14.108104818739729</v>
      </c>
      <c r="L54" s="6">
        <f>SQRT(((B47^2*B48^2)-(((K54-B44)^2)*(B48^2)))/(B47^2))+(B49)</f>
        <v>0.50814920383462181</v>
      </c>
      <c r="M54" s="6">
        <v>5.3999999999999999E-2</v>
      </c>
      <c r="N54" s="6">
        <v>2.302</v>
      </c>
    </row>
    <row r="55" spans="1:14" x14ac:dyDescent="0.3">
      <c r="A55" s="7" t="s">
        <v>54</v>
      </c>
      <c r="B55" s="4">
        <f>(1/0.75)*(LN(B54/B53))</f>
        <v>-3.588826212941485</v>
      </c>
      <c r="K55" s="6">
        <f t="shared" si="0"/>
        <v>15.44811145643836</v>
      </c>
      <c r="L55" s="6">
        <f>SQRT(((B47^2*B48^2)-(((K55-B44)^2)*(B48^2)))/(B47^2))+(B49)</f>
        <v>0.5153294373522409</v>
      </c>
      <c r="M55" s="6">
        <v>5.0999999999999997E-2</v>
      </c>
      <c r="N55" s="6">
        <v>2.403</v>
      </c>
    </row>
    <row r="56" spans="1:14" ht="18" x14ac:dyDescent="0.35">
      <c r="A56" s="4"/>
      <c r="B56" s="4">
        <f>_xlfn.NORM.S.DIST(B55,TRUE)</f>
        <v>1.6608508457510176E-4</v>
      </c>
      <c r="D56" s="8"/>
      <c r="K56" s="6">
        <f t="shared" si="0"/>
        <v>16.788118094136991</v>
      </c>
      <c r="L56" s="6">
        <f>SQRT(((B47^2*B48^2)-(((K56-B44)^2)*(B48^2)))/(B47^2))+(B49)</f>
        <v>0.52079277194431972</v>
      </c>
      <c r="M56" s="6">
        <v>4.5999999999999999E-2</v>
      </c>
      <c r="N56" s="6">
        <v>2.601</v>
      </c>
    </row>
    <row r="57" spans="1:14" x14ac:dyDescent="0.3">
      <c r="K57" s="6">
        <f t="shared" si="0"/>
        <v>18.128124731835619</v>
      </c>
      <c r="L57" s="6">
        <f>SQRT(((B47^2*B48^2)-(((K57-B44)^2)*(B48^2)))/(B47^2))+(B49)</f>
        <v>0.52463376417936558</v>
      </c>
      <c r="M57" s="6">
        <v>4.2000000000000003E-2</v>
      </c>
      <c r="N57" s="6">
        <v>2.8010000000000002</v>
      </c>
    </row>
    <row r="58" spans="1:14" x14ac:dyDescent="0.3">
      <c r="A58" s="5" t="s">
        <v>55</v>
      </c>
      <c r="K58" s="6">
        <f t="shared" si="0"/>
        <v>19.468131369534248</v>
      </c>
      <c r="L58" s="6">
        <f>SQRT(((B47^2*B48^2)-(((K58-B44)^2)*(B48^2)))/(B47^2))+(B49)</f>
        <v>0.52691474960394868</v>
      </c>
      <c r="M58" s="6">
        <v>3.9E-2</v>
      </c>
      <c r="N58" s="6">
        <v>3.0030000000000001</v>
      </c>
    </row>
    <row r="59" spans="1:14" x14ac:dyDescent="0.3">
      <c r="K59" s="6">
        <f>B44</f>
        <v>20.808138007232881</v>
      </c>
      <c r="L59" s="6">
        <f>SQRT(((B47^2*B48^2)-(((K59-B44)^2)*(B48^2)))/(B47^2))+(B49)</f>
        <v>0.52767123287671236</v>
      </c>
      <c r="M59" s="6">
        <v>3.5999999999999997E-2</v>
      </c>
      <c r="N59" s="6">
        <v>3.202</v>
      </c>
    </row>
    <row r="60" spans="1:14" x14ac:dyDescent="0.3">
      <c r="A60" t="s">
        <v>56</v>
      </c>
      <c r="B60">
        <f>B34*B56</f>
        <v>2.159106099476323E-5</v>
      </c>
      <c r="K60" s="6">
        <f>K59*1.5</f>
        <v>31.212207010849319</v>
      </c>
      <c r="L60" s="6">
        <f>L59</f>
        <v>0.52767123287671236</v>
      </c>
      <c r="M60" s="6">
        <v>3.4000000000000002E-2</v>
      </c>
      <c r="N60" s="6">
        <v>3.3519999999999999</v>
      </c>
    </row>
    <row r="61" spans="1:14" x14ac:dyDescent="0.3">
      <c r="B61">
        <f>B60*100</f>
        <v>2.1591060994763231E-3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5B38-2152-429E-A217-1B2F8A7FC118}">
  <dimension ref="A1:N69"/>
  <sheetViews>
    <sheetView topLeftCell="A55" workbookViewId="0">
      <selection activeCell="F74" sqref="F74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3.6</v>
      </c>
    </row>
    <row r="4" spans="1:8" x14ac:dyDescent="0.3">
      <c r="B4" s="2" t="s">
        <v>2</v>
      </c>
      <c r="C4" s="3" t="s">
        <v>60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58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0.65</v>
      </c>
    </row>
    <row r="23" spans="1:2" x14ac:dyDescent="0.3">
      <c r="A23" s="4" t="s">
        <v>29</v>
      </c>
      <c r="B23" s="4">
        <v>0.107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2</v>
      </c>
    </row>
    <row r="26" spans="1:2" x14ac:dyDescent="0.3">
      <c r="A26" s="4" t="s">
        <v>24</v>
      </c>
      <c r="B26" s="4">
        <v>5.08</v>
      </c>
    </row>
    <row r="27" spans="1:2" x14ac:dyDescent="0.3">
      <c r="A27" s="4" t="s">
        <v>30</v>
      </c>
      <c r="B27" s="4">
        <v>0.79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1.62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0.6</v>
      </c>
    </row>
    <row r="32" spans="1:2" x14ac:dyDescent="0.3">
      <c r="A32" s="4" t="s">
        <v>34</v>
      </c>
      <c r="B32" s="4">
        <v>8.3000000000000004E-2</v>
      </c>
    </row>
    <row r="33" spans="1:14" x14ac:dyDescent="0.3">
      <c r="A33" s="4" t="s">
        <v>35</v>
      </c>
      <c r="B33" s="4">
        <v>0.82</v>
      </c>
    </row>
    <row r="34" spans="1:14" x14ac:dyDescent="0.3">
      <c r="A34" s="4" t="s">
        <v>26</v>
      </c>
      <c r="B34" s="4">
        <v>0.13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0.24379746835443036</v>
      </c>
    </row>
    <row r="39" spans="1:14" x14ac:dyDescent="0.3">
      <c r="A39" s="4" t="s">
        <v>37</v>
      </c>
      <c r="B39" s="6">
        <f>9.8*B38*(B22)^2</f>
        <v>1.009443417721519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0.48759493670886073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10.255945124050633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1.009443417721519</v>
      </c>
      <c r="L45" s="6">
        <f>B38</f>
        <v>0.24379746835443036</v>
      </c>
      <c r="M45" s="6">
        <v>0.28299999999999997</v>
      </c>
      <c r="N45" s="6">
        <v>1.139</v>
      </c>
    </row>
    <row r="46" spans="1:14" x14ac:dyDescent="0.3">
      <c r="A46" s="4"/>
      <c r="B46" s="6"/>
      <c r="K46" s="6">
        <f>K45+($K$59-$K$45)/14</f>
        <v>1.6699078253164559</v>
      </c>
      <c r="L46" s="6">
        <f>SQRT((($B47^2*$B48^2)-(((K46-$B44)^2)*($B48^2)))/($B47^2))+($B49)</f>
        <v>0.31760979123207245</v>
      </c>
      <c r="M46" s="6">
        <v>0.27800000000000002</v>
      </c>
      <c r="N46" s="6">
        <v>1.3560000000000001</v>
      </c>
    </row>
    <row r="47" spans="1:14" x14ac:dyDescent="0.3">
      <c r="A47" s="7" t="s">
        <v>42</v>
      </c>
      <c r="B47" s="6">
        <f>SQRT((B39*B48^2*(B44-B39))/(B38*(B38-B49)))</f>
        <v>9.3167268925368827</v>
      </c>
      <c r="K47" s="6">
        <f t="shared" ref="K47:K58" si="0">K46+($K$59-$K$45)/14</f>
        <v>2.3303722329113925</v>
      </c>
      <c r="L47" s="6">
        <f>SQRT((($B47^2*$B48^2)-(((K47-$B44)^2)*($B48^2)))/($B47^2))+($B49)</f>
        <v>0.35580648900210066</v>
      </c>
      <c r="M47" s="6">
        <v>0.105</v>
      </c>
      <c r="N47" s="6">
        <v>1.3580000000000001</v>
      </c>
    </row>
    <row r="48" spans="1:14" x14ac:dyDescent="0.3">
      <c r="A48" s="7" t="s">
        <v>43</v>
      </c>
      <c r="B48" s="6">
        <f>B43-B49</f>
        <v>0.27784739410225578</v>
      </c>
      <c r="K48" s="6">
        <f t="shared" si="0"/>
        <v>2.9908366405063291</v>
      </c>
      <c r="L48" s="6">
        <f>SQRT((($B47^2*$B48^2)-(((K48-$B44)^2)*($B48^2)))/($B47^2))+($B49)</f>
        <v>0.38369078298775</v>
      </c>
      <c r="M48" s="6">
        <v>9.9000000000000005E-2</v>
      </c>
      <c r="N48" s="6">
        <v>1.4</v>
      </c>
    </row>
    <row r="49" spans="1:14" x14ac:dyDescent="0.3">
      <c r="A49" s="7" t="s">
        <v>44</v>
      </c>
      <c r="B49" s="6">
        <f>((B43^2-(B38^2)+(B38^2/B39)*(B39-B44))/(2*(B43-B38)+((B38/B39)*(B39-B44))))</f>
        <v>0.20974754260660491</v>
      </c>
      <c r="K49" s="6">
        <f t="shared" si="0"/>
        <v>3.6513010481012658</v>
      </c>
      <c r="L49" s="6">
        <f>SQRT((($B47^2*$B48^2)-(((K49-$B44)^2)*($B48^2)))/($B47^2))+($B49)</f>
        <v>0.40571532014907163</v>
      </c>
      <c r="M49" s="6">
        <v>9.4E-2</v>
      </c>
      <c r="N49" s="6">
        <v>1.45</v>
      </c>
    </row>
    <row r="50" spans="1:14" x14ac:dyDescent="0.3">
      <c r="K50" s="6">
        <f t="shared" si="0"/>
        <v>4.3117654556962028</v>
      </c>
      <c r="L50" s="6">
        <f>SQRT(((B47^2*B48^2)-(((K50-B44)^2)*(B48^2)))/(B47^2))+(B49)</f>
        <v>0.42369747297370047</v>
      </c>
      <c r="M50" s="6">
        <v>8.7999999999999995E-2</v>
      </c>
      <c r="N50" s="6">
        <v>1.506</v>
      </c>
    </row>
    <row r="51" spans="1:14" x14ac:dyDescent="0.3">
      <c r="A51" s="5" t="s">
        <v>52</v>
      </c>
      <c r="K51" s="6">
        <f t="shared" si="0"/>
        <v>4.9722298632911395</v>
      </c>
      <c r="L51" s="6">
        <f>SQRT(((B47^2*B48^2)-(((K51-B44)^2)*(B48^2)))/(B47^2))+(B49)</f>
        <v>0.43859216124935718</v>
      </c>
      <c r="M51" s="6">
        <v>0.08</v>
      </c>
      <c r="N51" s="6">
        <v>1.6</v>
      </c>
    </row>
    <row r="52" spans="1:14" x14ac:dyDescent="0.3">
      <c r="A52" s="5"/>
      <c r="K52" s="6">
        <f t="shared" si="0"/>
        <v>5.6326942708860761</v>
      </c>
      <c r="L52" s="6">
        <f>SQRT(((B47^2*B48^2)-(((K52-B44)^2)*(B48^2)))/(B47^2))+(B49)</f>
        <v>0.4509719820150504</v>
      </c>
      <c r="M52" s="6">
        <v>7.2999999999999995E-2</v>
      </c>
      <c r="N52" s="6">
        <v>1.706</v>
      </c>
    </row>
    <row r="53" spans="1:14" x14ac:dyDescent="0.3">
      <c r="A53" s="7" t="s">
        <v>53</v>
      </c>
      <c r="B53" s="4">
        <f>B32*B21*(B28/B29)*12</f>
        <v>26.560000000000002</v>
      </c>
      <c r="K53" s="6">
        <f t="shared" si="0"/>
        <v>6.2931586784810127</v>
      </c>
      <c r="L53" s="6">
        <f>SQRT(((B47^2*B48^2)-(((K53-B44)^2)*(B48^2)))/(B47^2))+(B49)</f>
        <v>0.4612086425059756</v>
      </c>
      <c r="M53" s="6">
        <v>6.5000000000000002E-2</v>
      </c>
      <c r="N53" s="6">
        <v>1.8520000000000001</v>
      </c>
    </row>
    <row r="54" spans="1:14" x14ac:dyDescent="0.3">
      <c r="A54" s="7" t="s">
        <v>46</v>
      </c>
      <c r="B54" s="4">
        <v>1.3</v>
      </c>
      <c r="K54" s="6">
        <f t="shared" si="0"/>
        <v>6.9536230860759494</v>
      </c>
      <c r="L54" s="6">
        <f>SQRT(((B47^2*B48^2)-(((K54-B44)^2)*(B48^2)))/(B47^2))+(B49)</f>
        <v>0.46955559341680231</v>
      </c>
      <c r="M54" s="6">
        <v>5.8999999999999997E-2</v>
      </c>
      <c r="N54" s="6">
        <v>2.008</v>
      </c>
    </row>
    <row r="55" spans="1:14" x14ac:dyDescent="0.3">
      <c r="A55" s="7" t="s">
        <v>54</v>
      </c>
      <c r="B55" s="4">
        <f>(1/0.75)*(LN(B54/B53))</f>
        <v>-4.0227227468543223</v>
      </c>
      <c r="K55" s="6">
        <f t="shared" si="0"/>
        <v>7.614087493670886</v>
      </c>
      <c r="L55" s="6">
        <f>SQRT(((B47^2*B48^2)-(((K55-B44)^2)*(B48^2)))/(B47^2))+(B49)</f>
        <v>0.4761904927432099</v>
      </c>
      <c r="M55" s="6">
        <v>5.2999999999999999E-2</v>
      </c>
      <c r="N55" s="6">
        <v>2.2040000000000002</v>
      </c>
    </row>
    <row r="56" spans="1:14" x14ac:dyDescent="0.3">
      <c r="A56" s="4"/>
      <c r="B56" s="4">
        <f>_xlfn.NORM.S.DIST(B55,TRUE)</f>
        <v>2.8764601676081792E-5</v>
      </c>
      <c r="K56" s="6">
        <f t="shared" si="0"/>
        <v>8.2745519012658235</v>
      </c>
      <c r="L56" s="6">
        <f>SQRT(((B47^2*B48^2)-(((K56-B44)^2)*(B48^2)))/(B47^2))+(B49)</f>
        <v>0.48123889053082702</v>
      </c>
      <c r="M56" s="6">
        <v>4.8000000000000001E-2</v>
      </c>
      <c r="N56" s="6">
        <v>2.4020000000000001</v>
      </c>
    </row>
    <row r="57" spans="1:14" x14ac:dyDescent="0.3">
      <c r="K57" s="6">
        <f t="shared" si="0"/>
        <v>8.9350163088607601</v>
      </c>
      <c r="L57" s="6">
        <f>SQRT(((B47^2*B48^2)-(((K57-B44)^2)*(B48^2)))/(B47^2))+(B49)</f>
        <v>0.48478816183662887</v>
      </c>
      <c r="M57" s="6">
        <v>4.2999999999999997E-2</v>
      </c>
      <c r="N57" s="6">
        <v>2.6059999999999999</v>
      </c>
    </row>
    <row r="58" spans="1:14" x14ac:dyDescent="0.3">
      <c r="A58" s="5" t="s">
        <v>55</v>
      </c>
      <c r="K58" s="6">
        <f t="shared" si="0"/>
        <v>9.5954807164556968</v>
      </c>
      <c r="L58" s="6">
        <f>SQRT(((B47^2*B48^2)-(((K58-B44)^2)*(B48^2)))/(B47^2))+(B49)</f>
        <v>0.48689590786187653</v>
      </c>
      <c r="M58" s="6">
        <v>0.04</v>
      </c>
      <c r="N58" s="6">
        <v>2.8</v>
      </c>
    </row>
    <row r="59" spans="1:14" x14ac:dyDescent="0.3">
      <c r="K59" s="6">
        <f>B44</f>
        <v>10.255945124050633</v>
      </c>
      <c r="L59" s="6">
        <f>SQRT(((B47^2*B48^2)-(((K59-B44)^2)*(B48^2)))/(B47^2))+(B49)</f>
        <v>0.48759493670886067</v>
      </c>
      <c r="M59" s="6">
        <v>3.6999999999999998E-2</v>
      </c>
      <c r="N59" s="6">
        <v>3.0009999999999999</v>
      </c>
    </row>
    <row r="60" spans="1:14" x14ac:dyDescent="0.3">
      <c r="A60" s="4" t="s">
        <v>56</v>
      </c>
      <c r="B60" s="4">
        <f>B34*B56</f>
        <v>3.739398217890633E-6</v>
      </c>
      <c r="K60" s="6">
        <f>K59*1.5</f>
        <v>15.38391768607595</v>
      </c>
      <c r="L60" s="6">
        <f>L59</f>
        <v>0.48759493670886067</v>
      </c>
      <c r="M60" s="6">
        <v>3.4000000000000002E-2</v>
      </c>
      <c r="N60" s="6">
        <v>3.5270000000000001</v>
      </c>
    </row>
    <row r="61" spans="1:14" x14ac:dyDescent="0.3">
      <c r="A61" s="4"/>
      <c r="B61" s="7">
        <f>B60*100</f>
        <v>3.7393982178906328E-4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5876-B53A-4FD6-A3FA-EB25C9A349CD}">
  <dimension ref="A1:N69"/>
  <sheetViews>
    <sheetView topLeftCell="A40" workbookViewId="0">
      <selection activeCell="A60" sqref="A60:B61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3.6</v>
      </c>
    </row>
    <row r="4" spans="1:8" x14ac:dyDescent="0.3">
      <c r="B4" s="2" t="s">
        <v>2</v>
      </c>
      <c r="C4" s="3" t="s">
        <v>7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19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0.89</v>
      </c>
    </row>
    <row r="23" spans="1:2" x14ac:dyDescent="0.3">
      <c r="A23" s="4" t="s">
        <v>29</v>
      </c>
      <c r="B23" s="4">
        <v>4.2999999999999997E-2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2</v>
      </c>
    </row>
    <row r="26" spans="1:2" x14ac:dyDescent="0.3">
      <c r="A26" s="4" t="s">
        <v>24</v>
      </c>
      <c r="B26" s="4">
        <v>3.82</v>
      </c>
    </row>
    <row r="27" spans="1:2" x14ac:dyDescent="0.3">
      <c r="A27" s="4" t="s">
        <v>30</v>
      </c>
      <c r="B27" s="4">
        <v>0.73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4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0.4</v>
      </c>
    </row>
    <row r="32" spans="1:2" x14ac:dyDescent="0.3">
      <c r="A32" s="4" t="s">
        <v>34</v>
      </c>
      <c r="B32" s="4">
        <v>2.8000000000000001E-2</v>
      </c>
    </row>
    <row r="33" spans="1:14" x14ac:dyDescent="0.3">
      <c r="A33" s="4" t="s">
        <v>35</v>
      </c>
      <c r="B33" s="4">
        <v>0.92</v>
      </c>
    </row>
    <row r="34" spans="1:14" x14ac:dyDescent="0.3">
      <c r="A34" s="4" t="s">
        <v>26</v>
      </c>
      <c r="B34" s="4">
        <v>0.5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0.10602739726027396</v>
      </c>
    </row>
    <row r="39" spans="1:14" x14ac:dyDescent="0.3">
      <c r="A39" s="4" t="s">
        <v>37</v>
      </c>
      <c r="B39" s="6">
        <f>9.8*B38*(B22)^2</f>
        <v>0.82304615342465748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0.21205479452054793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6.2880726121643828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0.82304615342465748</v>
      </c>
      <c r="L45" s="6">
        <f>B38</f>
        <v>0.10602739726027396</v>
      </c>
      <c r="M45" s="6">
        <v>0.20699999999999999</v>
      </c>
      <c r="N45" s="6">
        <v>1.159</v>
      </c>
    </row>
    <row r="46" spans="1:14" x14ac:dyDescent="0.3">
      <c r="A46" s="4"/>
      <c r="B46" s="6"/>
      <c r="K46" s="6">
        <f>K45+($K$59-$K$45)/14</f>
        <v>1.2134051861917807</v>
      </c>
      <c r="L46" s="6">
        <f>SQRT((($B47^2*$B48^2)-(((K46-$B44)^2)*($B48^2)))/($B47^2))+($B49)</f>
        <v>0.13550523885869761</v>
      </c>
      <c r="M46" s="6">
        <v>0.20300000000000001</v>
      </c>
      <c r="N46" s="6">
        <v>1.8560000000000001</v>
      </c>
    </row>
    <row r="47" spans="1:14" x14ac:dyDescent="0.3">
      <c r="A47" s="7" t="s">
        <v>42</v>
      </c>
      <c r="B47" s="6">
        <f>SQRT((B39*B48^2*(B44-B39))/(B38*(B38-B49)))</f>
        <v>5.5530085599197472</v>
      </c>
      <c r="K47" s="6">
        <f t="shared" ref="K47:K58" si="0">K46+($K$59-$K$45)/14</f>
        <v>1.6037642189589039</v>
      </c>
      <c r="L47" s="6">
        <f>SQRT((($B47^2*$B48^2)-(((K47-$B44)^2)*($B48^2)))/($B47^2))+($B49)</f>
        <v>0.15238826813123357</v>
      </c>
      <c r="M47" s="6">
        <v>7.6999999999999999E-2</v>
      </c>
      <c r="N47" s="6">
        <v>1.8560000000000001</v>
      </c>
    </row>
    <row r="48" spans="1:14" x14ac:dyDescent="0.3">
      <c r="A48" s="7" t="s">
        <v>43</v>
      </c>
      <c r="B48" s="6">
        <f>B43-B49</f>
        <v>0.12887812942843649</v>
      </c>
      <c r="K48" s="6">
        <f t="shared" si="0"/>
        <v>1.9941232517260272</v>
      </c>
      <c r="L48" s="6">
        <f>SQRT((($B47^2*$B48^2)-(((K48-$B44)^2)*($B48^2)))/($B47^2))+($B49)</f>
        <v>0.16489603274153092</v>
      </c>
      <c r="M48" s="6">
        <v>7.3999999999999996E-2</v>
      </c>
      <c r="N48" s="6">
        <v>1.9019999999999999</v>
      </c>
    </row>
    <row r="49" spans="1:14" x14ac:dyDescent="0.3">
      <c r="A49" s="7" t="s">
        <v>44</v>
      </c>
      <c r="B49" s="6">
        <f>((B43^2-(B38^2)+(B38^2/B39)*(B39-B44))/(2*(B43-B38)+((B38/B39)*(B39-B44))))</f>
        <v>8.317666509211144E-2</v>
      </c>
      <c r="K49" s="6">
        <f t="shared" si="0"/>
        <v>2.3844822844931506</v>
      </c>
      <c r="L49" s="6">
        <f>SQRT((($B47^2*$B48^2)-(((K49-$B44)^2)*($B48^2)))/($B47^2))+($B49)</f>
        <v>0.17483748984169004</v>
      </c>
      <c r="M49" s="6">
        <v>7.0000000000000007E-2</v>
      </c>
      <c r="N49" s="6">
        <v>1.9510000000000001</v>
      </c>
    </row>
    <row r="50" spans="1:14" x14ac:dyDescent="0.3">
      <c r="K50" s="6">
        <f t="shared" si="0"/>
        <v>2.7748413172602739</v>
      </c>
      <c r="L50" s="6">
        <f>SQRT(((B47^2*B48^2)-(((K50-B44)^2)*(B48^2)))/(B47^2))+(B49)</f>
        <v>0.18298248270562001</v>
      </c>
      <c r="M50" s="6">
        <v>6.7000000000000004E-2</v>
      </c>
      <c r="N50" s="6">
        <v>2.0009999999999999</v>
      </c>
    </row>
    <row r="51" spans="1:14" x14ac:dyDescent="0.3">
      <c r="A51" s="5" t="s">
        <v>52</v>
      </c>
      <c r="K51" s="6">
        <f t="shared" si="0"/>
        <v>3.1652003500273973</v>
      </c>
      <c r="L51" s="6">
        <f>SQRT(((B47^2*B48^2)-(((K51-B44)^2)*(B48^2)))/(B47^2))+(B49)</f>
        <v>0.18974372546352691</v>
      </c>
      <c r="M51" s="6">
        <v>6.5000000000000002E-2</v>
      </c>
      <c r="N51" s="6">
        <v>2.0550000000000002</v>
      </c>
    </row>
    <row r="52" spans="1:14" x14ac:dyDescent="0.3">
      <c r="A52" s="5"/>
      <c r="K52" s="6">
        <f t="shared" si="0"/>
        <v>3.5555593827945207</v>
      </c>
      <c r="L52" s="6">
        <f>SQRT(((B47^2*B48^2)-(((K52-B44)^2)*(B48^2)))/(B47^2))+(B49)</f>
        <v>0.19537166575562093</v>
      </c>
      <c r="M52" s="6">
        <v>6.2E-2</v>
      </c>
      <c r="N52" s="6">
        <v>2.1030000000000002</v>
      </c>
    </row>
    <row r="53" spans="1:14" x14ac:dyDescent="0.3">
      <c r="A53" s="7" t="s">
        <v>53</v>
      </c>
      <c r="B53" s="4">
        <f>B32*B21*(B28/B29)*12</f>
        <v>3.6288</v>
      </c>
      <c r="K53" s="6">
        <f t="shared" si="0"/>
        <v>3.945918415561644</v>
      </c>
      <c r="L53" s="6">
        <f>SQRT(((B47^2*B48^2)-(((K53-B44)^2)*(B48^2)))/(B47^2))+(B49)</f>
        <v>0.20003016603470569</v>
      </c>
      <c r="M53" s="6">
        <v>5.8000000000000003E-2</v>
      </c>
      <c r="N53" s="6">
        <v>2.202</v>
      </c>
    </row>
    <row r="54" spans="1:14" x14ac:dyDescent="0.3">
      <c r="A54" s="7" t="s">
        <v>46</v>
      </c>
      <c r="B54" s="4">
        <v>1.8560000000000001</v>
      </c>
      <c r="K54" s="6">
        <f t="shared" si="0"/>
        <v>4.3362774483287669</v>
      </c>
      <c r="L54" s="6">
        <f>SQRT(((B47^2*B48^2)-(((K54-B44)^2)*(B48^2)))/(B47^2))+(B49)</f>
        <v>0.20383156918710818</v>
      </c>
      <c r="M54" s="6">
        <v>5.3999999999999999E-2</v>
      </c>
      <c r="N54" s="6">
        <v>2.302</v>
      </c>
    </row>
    <row r="55" spans="1:14" x14ac:dyDescent="0.3">
      <c r="A55" s="7" t="s">
        <v>54</v>
      </c>
      <c r="B55" s="4">
        <f>(1/0.75)*(LN(B54/B53))</f>
        <v>-0.89397117432964324</v>
      </c>
      <c r="K55" s="6">
        <f t="shared" si="0"/>
        <v>4.7266364810958903</v>
      </c>
      <c r="L55" s="6">
        <f>SQRT(((B47^2*B48^2)-(((K55-B44)^2)*(B48^2)))/(B47^2))+(B49)</f>
        <v>0.20685493227265067</v>
      </c>
      <c r="M55" s="6">
        <v>5.0999999999999997E-2</v>
      </c>
      <c r="N55" s="6">
        <v>2.403</v>
      </c>
    </row>
    <row r="56" spans="1:14" ht="18" x14ac:dyDescent="0.35">
      <c r="A56" s="4"/>
      <c r="B56" s="4">
        <f>_xlfn.NORM.S.DIST(B55,TRUE)</f>
        <v>0.18566865715558556</v>
      </c>
      <c r="D56" s="8"/>
      <c r="K56" s="6">
        <f t="shared" si="0"/>
        <v>5.1169955138630137</v>
      </c>
      <c r="L56" s="6">
        <f>SQRT(((B47^2*B48^2)-(((K56-B44)^2)*(B48^2)))/(B47^2))+(B49)</f>
        <v>0.20915628389755489</v>
      </c>
      <c r="M56" s="6">
        <v>4.5999999999999999E-2</v>
      </c>
      <c r="N56" s="6">
        <v>2.601</v>
      </c>
    </row>
    <row r="57" spans="1:14" x14ac:dyDescent="0.3">
      <c r="K57" s="6">
        <f t="shared" si="0"/>
        <v>5.507354546630137</v>
      </c>
      <c r="L57" s="6">
        <f>SQRT(((B47^2*B48^2)-(((K57-B44)^2)*(B48^2)))/(B47^2))+(B49)</f>
        <v>0.21077469653039355</v>
      </c>
      <c r="M57" s="6">
        <v>4.2000000000000003E-2</v>
      </c>
      <c r="N57" s="6">
        <v>2.8010000000000002</v>
      </c>
    </row>
    <row r="58" spans="1:14" x14ac:dyDescent="0.3">
      <c r="A58" s="5" t="s">
        <v>55</v>
      </c>
      <c r="K58" s="6">
        <f t="shared" si="0"/>
        <v>5.8977135793972604</v>
      </c>
      <c r="L58" s="6">
        <f>SQRT(((B47^2*B48^2)-(((K58-B44)^2)*(B48^2)))/(B47^2))+(B49)</f>
        <v>0.21173596499087732</v>
      </c>
      <c r="M58" s="6">
        <v>3.9E-2</v>
      </c>
      <c r="N58" s="6">
        <v>3.0030000000000001</v>
      </c>
    </row>
    <row r="59" spans="1:14" x14ac:dyDescent="0.3">
      <c r="K59" s="6">
        <f>B44</f>
        <v>6.2880726121643828</v>
      </c>
      <c r="L59" s="6">
        <f>SQRT(((B47^2*B48^2)-(((K59-B44)^2)*(B48^2)))/(B47^2))+(B49)</f>
        <v>0.21205479452054793</v>
      </c>
      <c r="M59" s="6">
        <v>3.5999999999999997E-2</v>
      </c>
      <c r="N59" s="6">
        <v>3.202</v>
      </c>
    </row>
    <row r="60" spans="1:14" x14ac:dyDescent="0.3">
      <c r="A60" t="s">
        <v>56</v>
      </c>
      <c r="B60">
        <f>B34*B56</f>
        <v>9.283432857779278E-2</v>
      </c>
      <c r="K60" s="6">
        <f>K59*1.5</f>
        <v>9.4321089182465734</v>
      </c>
      <c r="L60" s="6">
        <f>L59</f>
        <v>0.21205479452054793</v>
      </c>
      <c r="M60" s="6">
        <v>3.4000000000000002E-2</v>
      </c>
      <c r="N60" s="6">
        <v>3.3519999999999999</v>
      </c>
    </row>
    <row r="61" spans="1:14" x14ac:dyDescent="0.3">
      <c r="B61" s="5">
        <f>B60*100</f>
        <v>9.2834328577792782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E8C9-7A28-4BA8-9B86-7F2CA7311DA3}">
  <dimension ref="A1:N69"/>
  <sheetViews>
    <sheetView topLeftCell="A41" workbookViewId="0">
      <selection activeCell="G51" sqref="G51"/>
    </sheetView>
  </sheetViews>
  <sheetFormatPr defaultRowHeight="14.4" x14ac:dyDescent="0.3"/>
  <cols>
    <col min="1" max="1" width="29.21875" customWidth="1"/>
    <col min="13" max="13" width="14.88671875" customWidth="1"/>
    <col min="14" max="14" width="14.6640625" customWidth="1"/>
  </cols>
  <sheetData>
    <row r="1" spans="1:8" x14ac:dyDescent="0.3">
      <c r="A1" s="1" t="s">
        <v>0</v>
      </c>
    </row>
    <row r="3" spans="1:8" x14ac:dyDescent="0.3">
      <c r="B3" s="2" t="s">
        <v>1</v>
      </c>
      <c r="C3" s="2">
        <v>3.5</v>
      </c>
    </row>
    <row r="4" spans="1:8" x14ac:dyDescent="0.3">
      <c r="B4" s="2" t="s">
        <v>2</v>
      </c>
      <c r="C4" s="3" t="s">
        <v>60</v>
      </c>
    </row>
    <row r="5" spans="1:8" x14ac:dyDescent="0.3">
      <c r="B5" s="2" t="s">
        <v>3</v>
      </c>
      <c r="C5" s="2" t="s">
        <v>8</v>
      </c>
    </row>
    <row r="6" spans="1:8" x14ac:dyDescent="0.3">
      <c r="B6" s="2" t="s">
        <v>4</v>
      </c>
      <c r="C6" s="2" t="s">
        <v>9</v>
      </c>
    </row>
    <row r="7" spans="1:8" x14ac:dyDescent="0.3">
      <c r="B7" s="2" t="s">
        <v>5</v>
      </c>
      <c r="C7" s="2">
        <v>6</v>
      </c>
    </row>
    <row r="8" spans="1:8" x14ac:dyDescent="0.3">
      <c r="B8" s="2" t="s">
        <v>6</v>
      </c>
      <c r="C8" s="2">
        <v>0.75</v>
      </c>
    </row>
    <row r="10" spans="1:8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3">
      <c r="A11" s="4">
        <v>0.69799999999999995</v>
      </c>
      <c r="B11" s="4">
        <v>0.41099999999999998</v>
      </c>
      <c r="C11" s="4">
        <v>0.218</v>
      </c>
      <c r="D11" s="4">
        <v>9.9299999999999999E-2</v>
      </c>
      <c r="E11" s="4">
        <v>2.6100000000000002E-2</v>
      </c>
      <c r="F11" s="4">
        <v>8.5599999999999999E-3</v>
      </c>
      <c r="G11" s="4">
        <v>0.377</v>
      </c>
      <c r="H11" s="4">
        <v>0.28199999999999997</v>
      </c>
    </row>
    <row r="13" spans="1:8" x14ac:dyDescent="0.3">
      <c r="A13" s="5" t="s">
        <v>18</v>
      </c>
    </row>
    <row r="15" spans="1:8" x14ac:dyDescent="0.3">
      <c r="A15" t="s">
        <v>58</v>
      </c>
    </row>
    <row r="17" spans="1:2" x14ac:dyDescent="0.3">
      <c r="A17" s="5" t="s">
        <v>20</v>
      </c>
    </row>
    <row r="19" spans="1:2" x14ac:dyDescent="0.3">
      <c r="A19" t="s">
        <v>21</v>
      </c>
    </row>
    <row r="21" spans="1:2" x14ac:dyDescent="0.3">
      <c r="A21" s="4" t="s">
        <v>27</v>
      </c>
      <c r="B21" s="4">
        <v>60</v>
      </c>
    </row>
    <row r="22" spans="1:2" x14ac:dyDescent="0.3">
      <c r="A22" s="4" t="s">
        <v>28</v>
      </c>
      <c r="B22" s="4">
        <v>0.65</v>
      </c>
    </row>
    <row r="23" spans="1:2" x14ac:dyDescent="0.3">
      <c r="A23" s="4" t="s">
        <v>29</v>
      </c>
      <c r="B23" s="4">
        <v>4.2999999999999997E-2</v>
      </c>
    </row>
    <row r="24" spans="1:2" x14ac:dyDescent="0.3">
      <c r="A24" s="4" t="s">
        <v>22</v>
      </c>
      <c r="B24" s="4">
        <v>1.8</v>
      </c>
    </row>
    <row r="25" spans="1:2" x14ac:dyDescent="0.3">
      <c r="A25" s="4" t="s">
        <v>23</v>
      </c>
      <c r="B25" s="4">
        <v>2</v>
      </c>
    </row>
    <row r="26" spans="1:2" x14ac:dyDescent="0.3">
      <c r="A26" s="4" t="s">
        <v>24</v>
      </c>
      <c r="B26" s="4">
        <v>3.82</v>
      </c>
    </row>
    <row r="27" spans="1:2" x14ac:dyDescent="0.3">
      <c r="A27" s="4" t="s">
        <v>30</v>
      </c>
      <c r="B27" s="4">
        <v>0.79</v>
      </c>
    </row>
    <row r="28" spans="1:2" x14ac:dyDescent="0.3">
      <c r="A28" s="4" t="s">
        <v>31</v>
      </c>
      <c r="B28" s="4">
        <v>0.72</v>
      </c>
    </row>
    <row r="29" spans="1:2" x14ac:dyDescent="0.3">
      <c r="A29" s="4" t="s">
        <v>32</v>
      </c>
      <c r="B29" s="4">
        <v>4</v>
      </c>
    </row>
    <row r="30" spans="1:2" x14ac:dyDescent="0.3">
      <c r="A30" s="4" t="s">
        <v>33</v>
      </c>
      <c r="B30" s="4">
        <v>7</v>
      </c>
    </row>
    <row r="31" spans="1:2" x14ac:dyDescent="0.3">
      <c r="A31" s="4" t="s">
        <v>25</v>
      </c>
      <c r="B31" s="4">
        <v>0.4</v>
      </c>
    </row>
    <row r="32" spans="1:2" x14ac:dyDescent="0.3">
      <c r="A32" s="4" t="s">
        <v>34</v>
      </c>
      <c r="B32" s="4">
        <v>4.4999999999999998E-2</v>
      </c>
    </row>
    <row r="33" spans="1:14" x14ac:dyDescent="0.3">
      <c r="A33" s="4" t="s">
        <v>35</v>
      </c>
      <c r="B33" s="4">
        <v>0.92</v>
      </c>
    </row>
    <row r="34" spans="1:14" x14ac:dyDescent="0.3">
      <c r="A34" s="4" t="s">
        <v>26</v>
      </c>
      <c r="B34" s="4">
        <v>0.5</v>
      </c>
    </row>
    <row r="36" spans="1:14" x14ac:dyDescent="0.3">
      <c r="A36" s="4" t="s">
        <v>38</v>
      </c>
      <c r="B36" s="4"/>
    </row>
    <row r="37" spans="1:14" x14ac:dyDescent="0.3">
      <c r="A37" s="4"/>
      <c r="B37" s="4"/>
    </row>
    <row r="38" spans="1:14" x14ac:dyDescent="0.3">
      <c r="A38" s="4" t="s">
        <v>36</v>
      </c>
      <c r="B38" s="6">
        <f>B23*B24/(B27)</f>
        <v>9.7974683544303789E-2</v>
      </c>
    </row>
    <row r="39" spans="1:14" x14ac:dyDescent="0.3">
      <c r="A39" s="4" t="s">
        <v>37</v>
      </c>
      <c r="B39" s="6">
        <f>9.8*B38*(B22)^2</f>
        <v>0.40566417721518988</v>
      </c>
    </row>
    <row r="40" spans="1:14" x14ac:dyDescent="0.3">
      <c r="A40" s="4"/>
      <c r="B40" s="6"/>
    </row>
    <row r="41" spans="1:14" ht="18.600000000000001" customHeight="1" x14ac:dyDescent="0.3">
      <c r="A41" s="4" t="s">
        <v>39</v>
      </c>
      <c r="B41" s="6"/>
      <c r="K41" s="4" t="s">
        <v>46</v>
      </c>
      <c r="L41" s="4" t="s">
        <v>45</v>
      </c>
      <c r="M41" s="4" t="s">
        <v>47</v>
      </c>
      <c r="N41" s="4"/>
    </row>
    <row r="42" spans="1:14" x14ac:dyDescent="0.3">
      <c r="A42" s="4"/>
      <c r="B42" s="6"/>
      <c r="K42" s="4"/>
      <c r="L42" s="4"/>
      <c r="M42" s="4" t="s">
        <v>48</v>
      </c>
      <c r="N42" s="4" t="s">
        <v>50</v>
      </c>
    </row>
    <row r="43" spans="1:14" x14ac:dyDescent="0.3">
      <c r="A43" s="4" t="s">
        <v>40</v>
      </c>
      <c r="B43" s="6">
        <f>B25*B38</f>
        <v>0.19594936708860758</v>
      </c>
      <c r="K43" s="4"/>
      <c r="L43" s="4"/>
      <c r="M43" s="4" t="s">
        <v>49</v>
      </c>
      <c r="N43" s="4" t="s">
        <v>51</v>
      </c>
    </row>
    <row r="44" spans="1:14" x14ac:dyDescent="0.3">
      <c r="A44" s="4" t="s">
        <v>41</v>
      </c>
      <c r="B44" s="6">
        <f>B25*B26*B39</f>
        <v>3.0992743139240506</v>
      </c>
      <c r="K44" s="4">
        <v>0</v>
      </c>
      <c r="L44" s="4">
        <v>0</v>
      </c>
      <c r="M44" s="4"/>
      <c r="N44" s="4">
        <v>0</v>
      </c>
    </row>
    <row r="45" spans="1:14" x14ac:dyDescent="0.3">
      <c r="A45" s="4"/>
      <c r="B45" s="6"/>
      <c r="K45" s="6">
        <f>B39</f>
        <v>0.40566417721518988</v>
      </c>
      <c r="L45" s="6">
        <f>B38</f>
        <v>9.7974683544303789E-2</v>
      </c>
      <c r="M45" s="6">
        <v>0.28299999999999997</v>
      </c>
      <c r="N45" s="6">
        <v>1.139</v>
      </c>
    </row>
    <row r="46" spans="1:14" x14ac:dyDescent="0.3">
      <c r="A46" s="4"/>
      <c r="B46" s="6"/>
      <c r="K46" s="6">
        <f>K45+($K$59-$K$45)/14</f>
        <v>0.59806490126582279</v>
      </c>
      <c r="L46" s="6">
        <f>SQRT((($B47^2*$B48^2)-(((K46-$B44)^2)*($B48^2)))/($B47^2))+($B49)</f>
        <v>0.125213701730189</v>
      </c>
      <c r="M46" s="6">
        <v>0.27800000000000002</v>
      </c>
      <c r="N46" s="6">
        <v>1.3560000000000001</v>
      </c>
    </row>
    <row r="47" spans="1:14" x14ac:dyDescent="0.3">
      <c r="A47" s="7" t="s">
        <v>42</v>
      </c>
      <c r="B47" s="6">
        <f>SQRT((B39*B48^2*(B44-B39))/(B38*(B38-B49)))</f>
        <v>2.7369748818526762</v>
      </c>
      <c r="K47" s="6">
        <f t="shared" ref="K47:K58" si="0">K46+($K$59-$K$45)/14</f>
        <v>0.7904656253164557</v>
      </c>
      <c r="L47" s="6">
        <f>SQRT((($B47^2*$B48^2)-(((K47-$B44)^2)*($B48^2)))/($B47^2))+($B49)</f>
        <v>0.1408144756149374</v>
      </c>
      <c r="M47" s="6">
        <v>0.105</v>
      </c>
      <c r="N47" s="6">
        <v>1.3580000000000001</v>
      </c>
    </row>
    <row r="48" spans="1:14" x14ac:dyDescent="0.3">
      <c r="A48" s="7" t="s">
        <v>43</v>
      </c>
      <c r="B48" s="6">
        <f>B43-B49</f>
        <v>0.11908991706678305</v>
      </c>
      <c r="K48" s="6">
        <f t="shared" si="0"/>
        <v>0.98286634936708861</v>
      </c>
      <c r="L48" s="6">
        <f>SQRT((($B47^2*$B48^2)-(((K48-$B44)^2)*($B48^2)))/($B47^2))+($B49)</f>
        <v>0.15237228341938935</v>
      </c>
      <c r="M48" s="6">
        <v>9.9000000000000005E-2</v>
      </c>
      <c r="N48" s="6">
        <v>1.4</v>
      </c>
    </row>
    <row r="49" spans="1:14" x14ac:dyDescent="0.3">
      <c r="A49" s="7" t="s">
        <v>44</v>
      </c>
      <c r="B49" s="6">
        <f>((B43^2-(B38^2)+(B38^2/B39)*(B39-B44))/(2*(B43-B38)+((B38/B39)*(B39-B44))))</f>
        <v>7.6859450021824524E-2</v>
      </c>
      <c r="K49" s="6">
        <f t="shared" si="0"/>
        <v>1.1752670734177215</v>
      </c>
      <c r="L49" s="6">
        <f>SQRT((($B47^2*$B48^2)-(((K49-$B44)^2)*($B48^2)))/($B47^2))+($B49)</f>
        <v>0.16155869314485283</v>
      </c>
      <c r="M49" s="6">
        <v>9.4E-2</v>
      </c>
      <c r="N49" s="6">
        <v>1.45</v>
      </c>
    </row>
    <row r="50" spans="1:14" x14ac:dyDescent="0.3">
      <c r="K50" s="6">
        <f t="shared" si="0"/>
        <v>1.3676677974683544</v>
      </c>
      <c r="L50" s="6">
        <f>SQRT(((B47^2*B48^2)-(((K50-B44)^2)*(B48^2)))/(B47^2))+(B49)</f>
        <v>0.16908507895582608</v>
      </c>
      <c r="M50" s="6">
        <v>8.7999999999999995E-2</v>
      </c>
      <c r="N50" s="6">
        <v>1.506</v>
      </c>
    </row>
    <row r="51" spans="1:14" x14ac:dyDescent="0.3">
      <c r="A51" s="5" t="s">
        <v>52</v>
      </c>
      <c r="K51" s="6">
        <f t="shared" si="0"/>
        <v>1.5600685215189873</v>
      </c>
      <c r="L51" s="6">
        <f>SQRT(((B47^2*B48^2)-(((K51-B44)^2)*(B48^2)))/(B47^2))+(B49)</f>
        <v>0.17533280960553754</v>
      </c>
      <c r="M51" s="6">
        <v>0.08</v>
      </c>
      <c r="N51" s="6">
        <v>1.6</v>
      </c>
    </row>
    <row r="52" spans="1:14" x14ac:dyDescent="0.3">
      <c r="A52" s="5"/>
      <c r="K52" s="6">
        <f t="shared" si="0"/>
        <v>1.7524692455696202</v>
      </c>
      <c r="L52" s="6">
        <f>SQRT(((B47^2*B48^2)-(((K52-B44)^2)*(B48^2)))/(B47^2))+(B49)</f>
        <v>0.18053331139443454</v>
      </c>
      <c r="M52" s="6">
        <v>7.2999999999999995E-2</v>
      </c>
      <c r="N52" s="6">
        <v>1.706</v>
      </c>
    </row>
    <row r="53" spans="1:14" x14ac:dyDescent="0.3">
      <c r="A53" s="7" t="s">
        <v>53</v>
      </c>
      <c r="B53" s="4">
        <f>B32*B21*(B28/B29)*12</f>
        <v>5.831999999999999</v>
      </c>
      <c r="K53" s="6">
        <f t="shared" si="0"/>
        <v>1.9448699696202532</v>
      </c>
      <c r="L53" s="6">
        <f>SQRT(((B47^2*B48^2)-(((K53-B44)^2)*(B48^2)))/(B47^2))+(B49)</f>
        <v>0.1848380015257407</v>
      </c>
      <c r="M53" s="6">
        <v>6.5000000000000002E-2</v>
      </c>
      <c r="N53" s="6">
        <v>1.8520000000000001</v>
      </c>
    </row>
    <row r="54" spans="1:14" x14ac:dyDescent="0.3">
      <c r="A54" s="7" t="s">
        <v>46</v>
      </c>
      <c r="B54" s="4">
        <v>1.3580000000000001</v>
      </c>
      <c r="K54" s="6">
        <f t="shared" si="0"/>
        <v>2.1372706936708861</v>
      </c>
      <c r="L54" s="6">
        <f>SQRT(((B47^2*B48^2)-(((K54-B44)^2)*(B48^2)))/(B47^2))+(B49)</f>
        <v>0.18835069051466957</v>
      </c>
      <c r="M54" s="6">
        <v>5.8999999999999997E-2</v>
      </c>
      <c r="N54" s="6">
        <v>2.008</v>
      </c>
    </row>
    <row r="55" spans="1:14" x14ac:dyDescent="0.3">
      <c r="A55" s="7" t="s">
        <v>54</v>
      </c>
      <c r="B55" s="4">
        <f>(1/0.75)*(LN(B54/B53))</f>
        <v>-1.9431292874264696</v>
      </c>
      <c r="K55" s="6">
        <f t="shared" si="0"/>
        <v>2.329671417721519</v>
      </c>
      <c r="L55" s="6">
        <f>SQRT(((B47^2*B48^2)-(((K55-B44)^2)*(B48^2)))/(B47^2))+(B49)</f>
        <v>0.19114443108738607</v>
      </c>
      <c r="M55" s="6">
        <v>5.2999999999999999E-2</v>
      </c>
      <c r="N55" s="6">
        <v>2.2040000000000002</v>
      </c>
    </row>
    <row r="56" spans="1:14" x14ac:dyDescent="0.3">
      <c r="A56" s="4"/>
      <c r="B56" s="4">
        <f>_xlfn.NORM.S.DIST(B55,TRUE)</f>
        <v>2.6000269592057638E-2</v>
      </c>
      <c r="K56" s="6">
        <f t="shared" si="0"/>
        <v>2.5220721417721519</v>
      </c>
      <c r="L56" s="6">
        <f>SQRT(((B47^2*B48^2)-(((K56-B44)^2)*(B48^2)))/(B47^2))+(B49)</f>
        <v>0.19327099651293048</v>
      </c>
      <c r="M56" s="6">
        <v>4.8000000000000001E-2</v>
      </c>
      <c r="N56" s="6">
        <v>2.4020000000000001</v>
      </c>
    </row>
    <row r="57" spans="1:14" x14ac:dyDescent="0.3">
      <c r="K57" s="6">
        <f t="shared" si="0"/>
        <v>2.7144728658227848</v>
      </c>
      <c r="L57" s="6">
        <f>SQRT(((B47^2*B48^2)-(((K57-B44)^2)*(B48^2)))/(B47^2))+(B49)</f>
        <v>0.19476649173061683</v>
      </c>
      <c r="M57" s="6">
        <v>4.2999999999999997E-2</v>
      </c>
      <c r="N57" s="6">
        <v>2.6059999999999999</v>
      </c>
    </row>
    <row r="58" spans="1:14" x14ac:dyDescent="0.3">
      <c r="A58" s="5" t="s">
        <v>55</v>
      </c>
      <c r="K58" s="6">
        <f t="shared" si="0"/>
        <v>2.9068735898734177</v>
      </c>
      <c r="L58" s="6">
        <f>SQRT(((B47^2*B48^2)-(((K58-B44)^2)*(B48^2)))/(B47^2))+(B49)</f>
        <v>0.19565475245992464</v>
      </c>
      <c r="M58" s="6">
        <v>0.04</v>
      </c>
      <c r="N58" s="6">
        <v>2.8</v>
      </c>
    </row>
    <row r="59" spans="1:14" x14ac:dyDescent="0.3">
      <c r="K59" s="6">
        <f>B44</f>
        <v>3.0992743139240506</v>
      </c>
      <c r="L59" s="6">
        <f>SQRT(((B47^2*B48^2)-(((K59-B44)^2)*(B48^2)))/(B47^2))+(B49)</f>
        <v>0.19594936708860758</v>
      </c>
      <c r="M59" s="6">
        <v>3.6999999999999998E-2</v>
      </c>
      <c r="N59" s="6">
        <v>3.0009999999999999</v>
      </c>
    </row>
    <row r="60" spans="1:14" x14ac:dyDescent="0.3">
      <c r="A60" s="4" t="s">
        <v>56</v>
      </c>
      <c r="B60" s="4">
        <f>B34*B56</f>
        <v>1.3000134796028819E-2</v>
      </c>
      <c r="K60" s="6">
        <f>K59*1.5</f>
        <v>4.6489114708860759</v>
      </c>
      <c r="L60" s="6">
        <f>L59</f>
        <v>0.19594936708860758</v>
      </c>
      <c r="M60" s="6">
        <v>3.4000000000000002E-2</v>
      </c>
      <c r="N60" s="6">
        <v>3.5270000000000001</v>
      </c>
    </row>
    <row r="61" spans="1:14" x14ac:dyDescent="0.3">
      <c r="A61" s="4"/>
      <c r="B61" s="7">
        <f>B60*100</f>
        <v>1.3000134796028819</v>
      </c>
    </row>
    <row r="69" spans="13:13" x14ac:dyDescent="0.3">
      <c r="M69" t="s">
        <v>57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3AE407AE320C409394B42D5E7C4116" ma:contentTypeVersion="6" ma:contentTypeDescription="Create a new document." ma:contentTypeScope="" ma:versionID="5a48f3872d365c86d0106790eb9d14a6">
  <xsd:schema xmlns:xsd="http://www.w3.org/2001/XMLSchema" xmlns:xs="http://www.w3.org/2001/XMLSchema" xmlns:p="http://schemas.microsoft.com/office/2006/metadata/properties" xmlns:ns3="48adb4a8-3c0b-4bfe-b1a4-71e4ac591635" targetNamespace="http://schemas.microsoft.com/office/2006/metadata/properties" ma:root="true" ma:fieldsID="5ea01b2e61dfd56d44abcb0095ca8103" ns3:_="">
    <xsd:import namespace="48adb4a8-3c0b-4bfe-b1a4-71e4ac5916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db4a8-3c0b-4bfe-b1a4-71e4ac5916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adb4a8-3c0b-4bfe-b1a4-71e4ac5916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FE4D79-0BC8-4B79-B054-BDB45FA7DBF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8adb4a8-3c0b-4bfe-b1a4-71e4ac59163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D69DDD-3E06-4274-AC6C-04CDE6AAB273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48adb4a8-3c0b-4bfe-b1a4-71e4ac591635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58CB27-3C3F-4B2F-8F76-A3EAE7FBAB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Case 1 for basic score</vt:lpstr>
      <vt:lpstr>Case 2 Basic Score</vt:lpstr>
      <vt:lpstr>Case 1 Pre Code</vt:lpstr>
      <vt:lpstr>Case 2 Pre Code</vt:lpstr>
      <vt:lpstr>Case 1 Post Benchmark</vt:lpstr>
      <vt:lpstr>Case 2 Post Benchmark</vt:lpstr>
      <vt:lpstr>Case 1 Que D</vt:lpstr>
      <vt:lpstr>Case 2 Que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Sunil Patel</dc:creator>
  <cp:lastModifiedBy>Dev Sunil Patel</cp:lastModifiedBy>
  <dcterms:created xsi:type="dcterms:W3CDTF">2025-02-06T18:41:59Z</dcterms:created>
  <dcterms:modified xsi:type="dcterms:W3CDTF">2025-02-15T17:28:46Z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0x010100A93AE407AE320C409394B42D5E7C4116</vt:lpwstr>
  </property>
</Properties>
</file>